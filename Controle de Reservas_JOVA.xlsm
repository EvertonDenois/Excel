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ois\Desktop\"/>
    </mc:Choice>
  </mc:AlternateContent>
  <bookViews>
    <workbookView xWindow="0" yWindow="0" windowWidth="19200" windowHeight="8025" tabRatio="881"/>
  </bookViews>
  <sheets>
    <sheet name="Controle" sheetId="20" r:id="rId1"/>
    <sheet name="Reserva" sheetId="17" r:id="rId2"/>
    <sheet name="Calendario" sheetId="14" r:id="rId3"/>
    <sheet name="Valores" sheetId="19" r:id="rId4"/>
    <sheet name="Cliente" sheetId="16" r:id="rId5"/>
    <sheet name="Total" sheetId="4" r:id="rId6"/>
    <sheet name="Novembro 2017" sheetId="1" r:id="rId7"/>
    <sheet name="Dezembro 2017" sheetId="2" r:id="rId8"/>
    <sheet name="Janeiro 2018" sheetId="3" r:id="rId9"/>
    <sheet name="Fevereiro" sheetId="5" r:id="rId10"/>
    <sheet name="Março" sheetId="6" r:id="rId11"/>
    <sheet name="Abril" sheetId="7" r:id="rId12"/>
    <sheet name="Maio" sheetId="8" r:id="rId13"/>
    <sheet name="Junho" sheetId="9" r:id="rId14"/>
    <sheet name="Julho" sheetId="10" r:id="rId15"/>
    <sheet name="Agosto" sheetId="11" r:id="rId16"/>
    <sheet name="Setembro" sheetId="12" r:id="rId17"/>
    <sheet name="Outubro" sheetId="13" r:id="rId18"/>
  </sheets>
  <calcPr calcId="162913"/>
</workbook>
</file>

<file path=xl/calcChain.xml><?xml version="1.0" encoding="utf-8"?>
<calcChain xmlns="http://schemas.openxmlformats.org/spreadsheetml/2006/main">
  <c r="A2" i="14" l="1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5" i="14" l="1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124" i="14"/>
  <c r="B5" i="4" l="1"/>
  <c r="B3" i="4"/>
  <c r="E33" i="13" l="1"/>
  <c r="E33" i="12"/>
  <c r="E33" i="11"/>
  <c r="E33" i="10"/>
  <c r="E33" i="9"/>
  <c r="E33" i="8"/>
  <c r="E33" i="7"/>
  <c r="E33" i="6"/>
  <c r="E31" i="5"/>
  <c r="E33" i="3"/>
  <c r="E33" i="2"/>
  <c r="E32" i="1"/>
  <c r="B1" i="4" l="1"/>
  <c r="B7" i="4"/>
  <c r="B9" i="4" l="1"/>
</calcChain>
</file>

<file path=xl/comments1.xml><?xml version="1.0" encoding="utf-8"?>
<comments xmlns="http://schemas.openxmlformats.org/spreadsheetml/2006/main">
  <authors>
    <author>EVERTON GUERREIRO DENOIS</author>
  </authors>
  <commentList>
    <comment ref="D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E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F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G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H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O7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7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B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C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D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E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F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----------
ID RESERVA: 3
CLIENTE: EVERTON
Entrada: 10/01/2019
Saída: 25/01/2019
</t>
        </r>
      </text>
    </comment>
    <comment ref="G8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H8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J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O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B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C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D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E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F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G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H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J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O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B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C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D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E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F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G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J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O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J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</commentList>
</comments>
</file>

<file path=xl/sharedStrings.xml><?xml version="1.0" encoding="utf-8"?>
<sst xmlns="http://schemas.openxmlformats.org/spreadsheetml/2006/main" count="720" uniqueCount="127">
  <si>
    <t>NOVEMBRO</t>
  </si>
  <si>
    <t>Quarta</t>
  </si>
  <si>
    <t>Quinta</t>
  </si>
  <si>
    <t>Sexta</t>
  </si>
  <si>
    <t>Sábado</t>
  </si>
  <si>
    <t>Domingo</t>
  </si>
  <si>
    <t>Segunda</t>
  </si>
  <si>
    <t>Terça</t>
  </si>
  <si>
    <t>Telefone</t>
  </si>
  <si>
    <t>Valor</t>
  </si>
  <si>
    <t>Falta</t>
  </si>
  <si>
    <t>Deposito</t>
  </si>
  <si>
    <t>Nome</t>
  </si>
  <si>
    <t>35 9836-1248</t>
  </si>
  <si>
    <t>Cristhiane Vilela Garcia</t>
  </si>
  <si>
    <t xml:space="preserve">Alan Marçal Gomes de Moraes </t>
  </si>
  <si>
    <t>JANEIRO</t>
  </si>
  <si>
    <t>DEZEMBRO</t>
  </si>
  <si>
    <t>Alemão</t>
  </si>
  <si>
    <t>11 99805-1580</t>
  </si>
  <si>
    <t>17 99715-2100</t>
  </si>
  <si>
    <t>Total</t>
  </si>
  <si>
    <t xml:space="preserve">Total </t>
  </si>
  <si>
    <t>Ricardo Pompeo</t>
  </si>
  <si>
    <t>15 99162-9028</t>
  </si>
  <si>
    <t>18 99646-7789</t>
  </si>
  <si>
    <t>Reiny</t>
  </si>
  <si>
    <t xml:space="preserve">Thyala </t>
  </si>
  <si>
    <t>Booking</t>
  </si>
  <si>
    <t>12 96429516</t>
  </si>
  <si>
    <t>Moniza</t>
  </si>
  <si>
    <t>PAGO</t>
  </si>
  <si>
    <t>Rafaela</t>
  </si>
  <si>
    <t>Jacilene</t>
  </si>
  <si>
    <t>Augusto</t>
  </si>
  <si>
    <t>Adriana Goulart</t>
  </si>
  <si>
    <t>Cintia</t>
  </si>
  <si>
    <t>FEVEREIRO</t>
  </si>
  <si>
    <t>Vanessa</t>
  </si>
  <si>
    <t>Daniel Nogueira - Booking</t>
  </si>
  <si>
    <t>MARÇO</t>
  </si>
  <si>
    <t>ABRIL</t>
  </si>
  <si>
    <t>MAIO</t>
  </si>
  <si>
    <t>JUNHO</t>
  </si>
  <si>
    <t>JULHO</t>
  </si>
  <si>
    <t>AGOSTO</t>
  </si>
  <si>
    <t>Teresa Palmasciano - Booking</t>
  </si>
  <si>
    <t xml:space="preserve">Patrícia </t>
  </si>
  <si>
    <t>Tamyres Arantes Lopes</t>
  </si>
  <si>
    <t>Gilmar</t>
  </si>
  <si>
    <t>Silcrei - Booking</t>
  </si>
  <si>
    <t>Thiago Ribeiro - Booking</t>
  </si>
  <si>
    <t>Dayane Cristina</t>
  </si>
  <si>
    <t>SETEMBRO</t>
  </si>
  <si>
    <t>OUTUBRO</t>
  </si>
  <si>
    <t>Silvio Irineu</t>
  </si>
  <si>
    <t xml:space="preserve">Miriam Patricia Surget </t>
  </si>
  <si>
    <t>Jean Carlos</t>
  </si>
  <si>
    <t>Maiara - Booking</t>
  </si>
  <si>
    <t>Cascão</t>
  </si>
  <si>
    <t>Feriado Dia do Trabalho</t>
  </si>
  <si>
    <t>Débora Vicente - Booking</t>
  </si>
  <si>
    <t>Fernanda Cristina Cruz - Booking</t>
  </si>
  <si>
    <t>Ananda - Booking</t>
  </si>
  <si>
    <t>Vitor Augusto dos Santos</t>
  </si>
  <si>
    <t>Franciele Ap. Nogueira</t>
  </si>
  <si>
    <t>Cristiano Farias Costa</t>
  </si>
  <si>
    <t>Luciana Lilian de O. Garcia</t>
  </si>
  <si>
    <t>Angélica Pereira</t>
  </si>
  <si>
    <t>Paula de Paula</t>
  </si>
  <si>
    <t>Condomínio/IPTU</t>
  </si>
  <si>
    <t>internet</t>
  </si>
  <si>
    <t xml:space="preserve">Total despesas </t>
  </si>
  <si>
    <t xml:space="preserve">Total Líquido </t>
  </si>
  <si>
    <t>Luz</t>
  </si>
  <si>
    <t>Michelle Silva</t>
  </si>
  <si>
    <t>Hamilton Nascimento</t>
  </si>
  <si>
    <t xml:space="preserve">Elber </t>
  </si>
  <si>
    <t>Cristiane Brito</t>
  </si>
  <si>
    <t>Arnaldo Antunes</t>
  </si>
  <si>
    <t>Douglas Rafael</t>
  </si>
  <si>
    <t>Daniele Rodrigues Germano</t>
  </si>
  <si>
    <t>Roger</t>
  </si>
  <si>
    <t>Alex Mariano</t>
  </si>
  <si>
    <t>Sr. Evandro</t>
  </si>
  <si>
    <t>Silvia e Rinaldo</t>
  </si>
  <si>
    <t>18 99158 2770</t>
  </si>
  <si>
    <t>16 99222 5481</t>
  </si>
  <si>
    <t>Silva</t>
  </si>
  <si>
    <t>Dia semana</t>
  </si>
  <si>
    <t>Data</t>
  </si>
  <si>
    <t>Id_Cliente</t>
  </si>
  <si>
    <t>CPF</t>
  </si>
  <si>
    <t>Contato</t>
  </si>
  <si>
    <t>Status</t>
  </si>
  <si>
    <t>Id_Reserva</t>
  </si>
  <si>
    <t>Entrada</t>
  </si>
  <si>
    <t>Saída</t>
  </si>
  <si>
    <t>Antecipado</t>
  </si>
  <si>
    <t>Class</t>
  </si>
  <si>
    <t>Diária</t>
  </si>
  <si>
    <t>Diárias</t>
  </si>
  <si>
    <t>Origem</t>
  </si>
  <si>
    <t>Desconto</t>
  </si>
  <si>
    <t>Pagamento</t>
  </si>
  <si>
    <t>Ano</t>
  </si>
  <si>
    <t>D</t>
  </si>
  <si>
    <t>S</t>
  </si>
  <si>
    <t>T</t>
  </si>
  <si>
    <t>Q</t>
  </si>
  <si>
    <t>EVERTON</t>
  </si>
  <si>
    <t>(16)99774-6633</t>
  </si>
  <si>
    <t>BOOKING</t>
  </si>
  <si>
    <t>CARTAO</t>
  </si>
  <si>
    <t>ATIVO</t>
  </si>
  <si>
    <t>Comentarios</t>
  </si>
  <si>
    <t>R$ 0,00</t>
  </si>
  <si>
    <t>R$ 1800,00</t>
  </si>
  <si>
    <t>R$ 5400,00</t>
  </si>
  <si>
    <t>FACE</t>
  </si>
  <si>
    <t>R$ 3000,00</t>
  </si>
  <si>
    <t>TESTE</t>
  </si>
  <si>
    <t>1|3</t>
  </si>
  <si>
    <t>1|1</t>
  </si>
  <si>
    <t>1|</t>
  </si>
  <si>
    <t>2|</t>
  </si>
  <si>
    <t>3|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</si>
</sst>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[$-416]d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7C8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17" fontId="0" fillId="0" borderId="0" xfId="0" applyNumberFormat="1" applyAlignment="1"/>
    <xf numFmtId="17" fontId="1" fillId="0" borderId="0" xfId="0" applyNumberFormat="1" applyFont="1" applyAlignment="1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44" fontId="0" fillId="0" borderId="0" xfId="1" applyFont="1"/>
    <xf numFmtId="44" fontId="0" fillId="2" borderId="0" xfId="1" applyFont="1" applyFill="1"/>
    <xf numFmtId="0" fontId="3" fillId="0" borderId="0" xfId="0" applyFont="1"/>
    <xf numFmtId="44" fontId="4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/>
    </xf>
    <xf numFmtId="44" fontId="0" fillId="0" borderId="0" xfId="1" applyFont="1" applyFill="1"/>
    <xf numFmtId="0" fontId="0" fillId="3" borderId="0" xfId="0" applyFill="1"/>
    <xf numFmtId="0" fontId="0" fillId="3" borderId="0" xfId="0" applyFill="1" applyAlignment="1">
      <alignment horizontal="center"/>
    </xf>
    <xf numFmtId="44" fontId="0" fillId="3" borderId="0" xfId="1" applyFont="1" applyFill="1"/>
    <xf numFmtId="44" fontId="0" fillId="4" borderId="0" xfId="1" applyFont="1" applyFill="1"/>
    <xf numFmtId="8" fontId="0" fillId="3" borderId="0" xfId="1" applyNumberFormat="1" applyFont="1" applyFill="1"/>
    <xf numFmtId="0" fontId="0" fillId="5" borderId="0" xfId="0" applyFill="1"/>
    <xf numFmtId="0" fontId="0" fillId="5" borderId="0" xfId="0" applyFill="1" applyAlignment="1">
      <alignment horizontal="center"/>
    </xf>
    <xf numFmtId="44" fontId="0" fillId="5" borderId="0" xfId="1" applyFont="1" applyFill="1"/>
    <xf numFmtId="8" fontId="0" fillId="5" borderId="0" xfId="1" applyNumberFormat="1" applyFont="1" applyFill="1"/>
    <xf numFmtId="8" fontId="0" fillId="2" borderId="0" xfId="1" applyNumberFormat="1" applyFont="1" applyFill="1"/>
    <xf numFmtId="0" fontId="0" fillId="6" borderId="0" xfId="0" applyFill="1"/>
    <xf numFmtId="0" fontId="0" fillId="6" borderId="0" xfId="0" applyFill="1" applyAlignment="1">
      <alignment horizontal="center"/>
    </xf>
    <xf numFmtId="44" fontId="0" fillId="6" borderId="0" xfId="1" applyFont="1" applyFill="1"/>
    <xf numFmtId="8" fontId="5" fillId="4" borderId="0" xfId="1" applyNumberFormat="1" applyFont="1" applyFill="1"/>
    <xf numFmtId="8" fontId="0" fillId="4" borderId="0" xfId="1" applyNumberFormat="1" applyFont="1" applyFill="1"/>
    <xf numFmtId="0" fontId="5" fillId="7" borderId="0" xfId="0" applyFont="1" applyFill="1"/>
    <xf numFmtId="0" fontId="5" fillId="7" borderId="0" xfId="0" applyFont="1" applyFill="1" applyAlignment="1">
      <alignment horizontal="center"/>
    </xf>
    <xf numFmtId="44" fontId="5" fillId="7" borderId="0" xfId="1" applyFont="1" applyFill="1"/>
    <xf numFmtId="0" fontId="0" fillId="7" borderId="0" xfId="0" applyFill="1"/>
    <xf numFmtId="0" fontId="0" fillId="7" borderId="0" xfId="0" applyFill="1" applyAlignment="1">
      <alignment horizontal="center"/>
    </xf>
    <xf numFmtId="44" fontId="0" fillId="7" borderId="0" xfId="1" applyFont="1" applyFill="1"/>
    <xf numFmtId="0" fontId="0" fillId="8" borderId="0" xfId="0" applyFill="1"/>
    <xf numFmtId="0" fontId="0" fillId="8" borderId="0" xfId="0" applyFill="1" applyAlignment="1">
      <alignment horizontal="center"/>
    </xf>
    <xf numFmtId="44" fontId="0" fillId="8" borderId="0" xfId="1" applyFont="1" applyFill="1"/>
    <xf numFmtId="8" fontId="0" fillId="8" borderId="0" xfId="1" applyNumberFormat="1" applyFont="1" applyFill="1"/>
    <xf numFmtId="8" fontId="0" fillId="0" borderId="0" xfId="1" applyNumberFormat="1" applyFont="1" applyFill="1"/>
    <xf numFmtId="44" fontId="0" fillId="9" borderId="0" xfId="1" applyFont="1" applyFill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44" fontId="0" fillId="0" borderId="1" xfId="1" applyFont="1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44" fontId="0" fillId="9" borderId="0" xfId="1" applyFont="1" applyFill="1" applyBorder="1"/>
    <xf numFmtId="8" fontId="0" fillId="9" borderId="0" xfId="1" applyNumberFormat="1" applyFont="1" applyFill="1"/>
    <xf numFmtId="44" fontId="5" fillId="0" borderId="0" xfId="1" applyFo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8" fontId="0" fillId="0" borderId="0" xfId="1" applyNumberFormat="1" applyFont="1" applyFill="1" applyBorder="1"/>
    <xf numFmtId="44" fontId="0" fillId="0" borderId="0" xfId="1" applyFont="1" applyFill="1" applyBorder="1"/>
    <xf numFmtId="44" fontId="5" fillId="4" borderId="0" xfId="1" applyFont="1" applyFill="1"/>
    <xf numFmtId="164" fontId="0" fillId="8" borderId="0" xfId="1" applyNumberFormat="1" applyFont="1" applyFill="1"/>
    <xf numFmtId="164" fontId="0" fillId="0" borderId="0" xfId="0" applyNumberFormat="1" applyAlignment="1">
      <alignment horizontal="center"/>
    </xf>
    <xf numFmtId="164" fontId="0" fillId="0" borderId="0" xfId="1" applyNumberFormat="1" applyFont="1" applyFill="1"/>
    <xf numFmtId="164" fontId="0" fillId="9" borderId="0" xfId="1" applyNumberFormat="1" applyFont="1" applyFill="1"/>
    <xf numFmtId="164" fontId="0" fillId="0" borderId="0" xfId="1" applyNumberFormat="1" applyFont="1"/>
    <xf numFmtId="164" fontId="0" fillId="0" borderId="0" xfId="0" applyNumberFormat="1"/>
    <xf numFmtId="44" fontId="0" fillId="4" borderId="0" xfId="1" applyFont="1" applyFill="1" applyBorder="1"/>
    <xf numFmtId="0" fontId="5" fillId="9" borderId="0" xfId="0" applyFont="1" applyFill="1"/>
    <xf numFmtId="0" fontId="5" fillId="9" borderId="0" xfId="0" applyFont="1" applyFill="1" applyAlignment="1">
      <alignment horizontal="center"/>
    </xf>
    <xf numFmtId="0" fontId="6" fillId="9" borderId="0" xfId="0" applyFont="1" applyFill="1"/>
    <xf numFmtId="44" fontId="6" fillId="9" borderId="0" xfId="1" applyFont="1" applyFill="1"/>
    <xf numFmtId="44" fontId="5" fillId="9" borderId="0" xfId="1" applyFont="1" applyFill="1"/>
    <xf numFmtId="8" fontId="0" fillId="6" borderId="0" xfId="1" applyNumberFormat="1" applyFont="1" applyFill="1"/>
    <xf numFmtId="0" fontId="5" fillId="0" borderId="0" xfId="0" applyFont="1" applyFill="1"/>
    <xf numFmtId="164" fontId="0" fillId="6" borderId="0" xfId="1" applyNumberFormat="1" applyFont="1" applyFill="1"/>
    <xf numFmtId="0" fontId="0" fillId="6" borderId="2" xfId="0" applyFill="1" applyBorder="1"/>
    <xf numFmtId="44" fontId="0" fillId="4" borderId="0" xfId="1" applyFont="1" applyFill="1" applyAlignment="1">
      <alignment horizontal="center" vertical="top"/>
    </xf>
    <xf numFmtId="44" fontId="0" fillId="4" borderId="0" xfId="1" applyFont="1" applyFill="1" applyAlignment="1">
      <alignment horizontal="center"/>
    </xf>
    <xf numFmtId="44" fontId="0" fillId="0" borderId="0" xfId="0" applyNumberFormat="1"/>
    <xf numFmtId="44" fontId="1" fillId="0" borderId="0" xfId="0" applyNumberFormat="1" applyFont="1"/>
    <xf numFmtId="44" fontId="7" fillId="0" borderId="0" xfId="0" applyNumberFormat="1" applyFont="1"/>
    <xf numFmtId="0" fontId="5" fillId="0" borderId="0" xfId="0" applyFont="1" applyFill="1" applyAlignment="1">
      <alignment horizontal="center"/>
    </xf>
    <xf numFmtId="44" fontId="5" fillId="0" borderId="0" xfId="1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44" fontId="5" fillId="8" borderId="0" xfId="1" applyFont="1" applyFill="1"/>
    <xf numFmtId="8" fontId="5" fillId="8" borderId="0" xfId="1" applyNumberFormat="1" applyFont="1" applyFill="1"/>
    <xf numFmtId="0" fontId="8" fillId="3" borderId="0" xfId="0" applyFont="1" applyFill="1"/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44" fontId="0" fillId="6" borderId="0" xfId="1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44" fontId="0" fillId="3" borderId="0" xfId="1" applyFont="1" applyFill="1" applyBorder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44" fontId="5" fillId="3" borderId="0" xfId="1" applyFont="1" applyFill="1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44" fontId="0" fillId="8" borderId="0" xfId="1" applyFont="1" applyFill="1" applyBorder="1"/>
    <xf numFmtId="8" fontId="0" fillId="8" borderId="0" xfId="1" applyNumberFormat="1" applyFont="1" applyFill="1" applyBorder="1"/>
    <xf numFmtId="8" fontId="0" fillId="3" borderId="0" xfId="1" applyNumberFormat="1" applyFont="1" applyFill="1" applyBorder="1"/>
    <xf numFmtId="44" fontId="5" fillId="4" borderId="0" xfId="1" applyFont="1" applyFill="1" applyBorder="1"/>
    <xf numFmtId="44" fontId="0" fillId="4" borderId="0" xfId="1" applyFont="1" applyFill="1" applyBorder="1" applyAlignment="1">
      <alignment horizontal="center"/>
    </xf>
    <xf numFmtId="0" fontId="5" fillId="9" borderId="0" xfId="0" applyFont="1" applyFill="1" applyBorder="1"/>
    <xf numFmtId="0" fontId="5" fillId="9" borderId="0" xfId="0" applyFont="1" applyFill="1" applyBorder="1" applyAlignment="1">
      <alignment horizontal="center"/>
    </xf>
    <xf numFmtId="44" fontId="5" fillId="9" borderId="0" xfId="1" applyFont="1" applyFill="1" applyBorder="1"/>
    <xf numFmtId="44" fontId="5" fillId="4" borderId="0" xfId="1" applyFont="1" applyFill="1" applyBorder="1" applyAlignment="1">
      <alignment horizontal="center"/>
    </xf>
    <xf numFmtId="0" fontId="0" fillId="0" borderId="0" xfId="0" applyBorder="1"/>
    <xf numFmtId="44" fontId="0" fillId="0" borderId="0" xfId="1" applyFont="1" applyBorder="1"/>
    <xf numFmtId="14" fontId="0" fillId="0" borderId="0" xfId="0" applyNumberFormat="1"/>
    <xf numFmtId="0" fontId="0" fillId="0" borderId="0" xfId="0" applyNumberFormat="1"/>
    <xf numFmtId="0" fontId="1" fillId="10" borderId="7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/>
    </xf>
    <xf numFmtId="0" fontId="9" fillId="0" borderId="0" xfId="0" applyFont="1"/>
    <xf numFmtId="49" fontId="0" fillId="0" borderId="0" xfId="0" applyNumberFormat="1"/>
    <xf numFmtId="0" fontId="0" fillId="0" borderId="0" xfId="0" applyFont="1"/>
    <xf numFmtId="165" fontId="0" fillId="0" borderId="7" xfId="0" applyNumberFormat="1" applyFont="1" applyFill="1" applyBorder="1"/>
    <xf numFmtId="165" fontId="0" fillId="0" borderId="3" xfId="0" applyNumberFormat="1" applyFont="1" applyFill="1" applyBorder="1"/>
    <xf numFmtId="165" fontId="0" fillId="0" borderId="3" xfId="0" applyNumberFormat="1" applyFont="1" applyFill="1" applyBorder="1" applyAlignment="1">
      <alignment horizontal="center"/>
    </xf>
    <xf numFmtId="165" fontId="0" fillId="0" borderId="8" xfId="0" applyNumberFormat="1" applyFont="1" applyFill="1" applyBorder="1" applyAlignment="1">
      <alignment horizontal="center"/>
    </xf>
    <xf numFmtId="165" fontId="0" fillId="0" borderId="7" xfId="0" applyNumberFormat="1" applyFont="1" applyFill="1" applyBorder="1" applyAlignment="1">
      <alignment horizontal="center"/>
    </xf>
    <xf numFmtId="165" fontId="0" fillId="0" borderId="8" xfId="0" applyNumberFormat="1" applyFont="1" applyFill="1" applyBorder="1"/>
    <xf numFmtId="165" fontId="0" fillId="0" borderId="9" xfId="0" applyNumberFormat="1" applyFont="1" applyFill="1" applyBorder="1"/>
    <xf numFmtId="165" fontId="0" fillId="0" borderId="10" xfId="0" applyNumberFormat="1" applyFont="1" applyFill="1" applyBorder="1"/>
    <xf numFmtId="165" fontId="0" fillId="0" borderId="11" xfId="0" applyNumberFormat="1" applyFont="1" applyFill="1" applyBorder="1"/>
    <xf numFmtId="165" fontId="0" fillId="0" borderId="9" xfId="0" applyNumberFormat="1" applyFont="1" applyFill="1" applyBorder="1" applyAlignment="1">
      <alignment horizontal="center"/>
    </xf>
    <xf numFmtId="165" fontId="0" fillId="0" borderId="1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Font="1" applyFill="1" applyBorder="1"/>
    <xf numFmtId="0" fontId="0" fillId="0" borderId="0" xfId="0" applyFont="1" applyFill="1" applyBorder="1"/>
    <xf numFmtId="165" fontId="0" fillId="0" borderId="0" xfId="0" applyNumberFormat="1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165" fontId="1" fillId="11" borderId="12" xfId="0" applyNumberFormat="1" applyFont="1" applyFill="1" applyBorder="1" applyAlignment="1">
      <alignment horizontal="center"/>
    </xf>
    <xf numFmtId="165" fontId="1" fillId="11" borderId="8" xfId="0" applyNumberFormat="1" applyFont="1" applyFill="1" applyBorder="1" applyAlignment="1">
      <alignment horizontal="center"/>
    </xf>
    <xf numFmtId="165" fontId="1" fillId="11" borderId="7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4</xdr:col>
          <xdr:colOff>9525</xdr:colOff>
          <xdr:row>2</xdr:row>
          <xdr:rowOff>19050</xdr:rowOff>
        </xdr:to>
        <xdr:sp macro="" textlink="">
          <xdr:nvSpPr>
            <xdr:cNvPr id="20485" name="ddl_ano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F30"/>
  <sheetViews>
    <sheetView showGridLines="0" tabSelected="1" workbookViewId="0">
      <selection activeCell="G10" sqref="G10"/>
    </sheetView>
  </sheetViews>
  <sheetFormatPr defaultRowHeight="15" x14ac:dyDescent="0.25"/>
  <cols>
    <col min="1" max="1" width="2.7109375" customWidth="1"/>
    <col min="2" max="8" width="5.7109375" customWidth="1"/>
    <col min="9" max="9" width="2.7109375" customWidth="1"/>
    <col min="10" max="16" width="5.7109375" customWidth="1"/>
    <col min="17" max="17" width="2.7109375" customWidth="1"/>
    <col min="18" max="24" width="5.7109375" customWidth="1"/>
    <col min="25" max="25" width="2.7109375" customWidth="1"/>
    <col min="26" max="32" width="5.7109375" customWidth="1"/>
  </cols>
  <sheetData>
    <row r="1" spans="2:32" ht="8.25" customHeight="1" x14ac:dyDescent="0.25"/>
    <row r="2" spans="2:32" ht="18.75" x14ac:dyDescent="0.3">
      <c r="B2" s="113" t="s">
        <v>105</v>
      </c>
      <c r="N2" s="115"/>
    </row>
    <row r="3" spans="2:32" ht="5.0999999999999996" customHeight="1" x14ac:dyDescent="0.25"/>
    <row r="4" spans="2:32" ht="5.0999999999999996" customHeight="1" thickBot="1" x14ac:dyDescent="0.3"/>
    <row r="5" spans="2:32" x14ac:dyDescent="0.25">
      <c r="B5" s="131" t="s">
        <v>16</v>
      </c>
      <c r="C5" s="132"/>
      <c r="D5" s="132"/>
      <c r="E5" s="132"/>
      <c r="F5" s="132"/>
      <c r="G5" s="132"/>
      <c r="H5" s="133"/>
      <c r="J5" s="131" t="s">
        <v>37</v>
      </c>
      <c r="K5" s="132"/>
      <c r="L5" s="132"/>
      <c r="M5" s="132"/>
      <c r="N5" s="132"/>
      <c r="O5" s="132"/>
      <c r="P5" s="133"/>
      <c r="R5" s="131" t="s">
        <v>40</v>
      </c>
      <c r="S5" s="132"/>
      <c r="T5" s="132"/>
      <c r="U5" s="132"/>
      <c r="V5" s="132"/>
      <c r="W5" s="132"/>
      <c r="X5" s="133"/>
      <c r="Z5" s="131" t="s">
        <v>41</v>
      </c>
      <c r="AA5" s="132"/>
      <c r="AB5" s="132"/>
      <c r="AC5" s="132"/>
      <c r="AD5" s="132"/>
      <c r="AE5" s="132"/>
      <c r="AF5" s="133"/>
    </row>
    <row r="6" spans="2:32" x14ac:dyDescent="0.25">
      <c r="B6" s="110" t="s">
        <v>106</v>
      </c>
      <c r="C6" s="111" t="s">
        <v>107</v>
      </c>
      <c r="D6" s="111" t="s">
        <v>108</v>
      </c>
      <c r="E6" s="111" t="s">
        <v>109</v>
      </c>
      <c r="F6" s="111" t="s">
        <v>109</v>
      </c>
      <c r="G6" s="111" t="s">
        <v>107</v>
      </c>
      <c r="H6" s="112" t="s">
        <v>107</v>
      </c>
      <c r="J6" s="110" t="s">
        <v>106</v>
      </c>
      <c r="K6" s="111" t="s">
        <v>107</v>
      </c>
      <c r="L6" s="111" t="s">
        <v>108</v>
      </c>
      <c r="M6" s="111" t="s">
        <v>109</v>
      </c>
      <c r="N6" s="111" t="s">
        <v>109</v>
      </c>
      <c r="O6" s="111" t="s">
        <v>107</v>
      </c>
      <c r="P6" s="112" t="s">
        <v>107</v>
      </c>
      <c r="R6" s="110" t="s">
        <v>106</v>
      </c>
      <c r="S6" s="111" t="s">
        <v>107</v>
      </c>
      <c r="T6" s="111" t="s">
        <v>108</v>
      </c>
      <c r="U6" s="111" t="s">
        <v>109</v>
      </c>
      <c r="V6" s="111" t="s">
        <v>109</v>
      </c>
      <c r="W6" s="111" t="s">
        <v>107</v>
      </c>
      <c r="X6" s="112" t="s">
        <v>107</v>
      </c>
      <c r="Z6" s="110" t="s">
        <v>106</v>
      </c>
      <c r="AA6" s="111" t="s">
        <v>107</v>
      </c>
      <c r="AB6" s="111" t="s">
        <v>108</v>
      </c>
      <c r="AC6" s="111" t="s">
        <v>109</v>
      </c>
      <c r="AD6" s="111" t="s">
        <v>109</v>
      </c>
      <c r="AE6" s="111" t="s">
        <v>107</v>
      </c>
      <c r="AF6" s="112" t="s">
        <v>107</v>
      </c>
    </row>
    <row r="7" spans="2:32" s="128" customFormat="1" x14ac:dyDescent="0.25">
      <c r="B7" s="116"/>
      <c r="C7" s="117"/>
      <c r="D7" s="135">
        <v>43466</v>
      </c>
      <c r="E7" s="134">
        <v>43467</v>
      </c>
      <c r="F7" s="134">
        <v>43468</v>
      </c>
      <c r="G7" s="134">
        <v>43469</v>
      </c>
      <c r="H7" s="136">
        <v>43470</v>
      </c>
      <c r="J7" s="116"/>
      <c r="K7" s="117"/>
      <c r="L7" s="118"/>
      <c r="M7" s="118"/>
      <c r="N7" s="118"/>
      <c r="O7" s="135">
        <v>43497</v>
      </c>
      <c r="P7" s="136">
        <v>43498</v>
      </c>
      <c r="R7" s="120"/>
      <c r="S7" s="118"/>
      <c r="T7" s="118"/>
      <c r="U7" s="118"/>
      <c r="V7" s="118"/>
      <c r="W7" s="118">
        <v>43525</v>
      </c>
      <c r="X7" s="119">
        <v>43526</v>
      </c>
      <c r="Z7" s="116"/>
      <c r="AA7" s="118">
        <v>43556</v>
      </c>
      <c r="AB7" s="118">
        <v>43557</v>
      </c>
      <c r="AC7" s="118">
        <v>43558</v>
      </c>
      <c r="AD7" s="118">
        <v>43559</v>
      </c>
      <c r="AE7" s="118">
        <v>43560</v>
      </c>
      <c r="AF7" s="119">
        <v>43561</v>
      </c>
    </row>
    <row r="8" spans="2:32" s="128" customFormat="1" x14ac:dyDescent="0.25">
      <c r="B8" s="137">
        <v>43471</v>
      </c>
      <c r="C8" s="134">
        <v>43472</v>
      </c>
      <c r="D8" s="134">
        <v>43473</v>
      </c>
      <c r="E8" s="134">
        <v>43474</v>
      </c>
      <c r="F8" s="135">
        <v>43475</v>
      </c>
      <c r="G8" s="134">
        <v>43476</v>
      </c>
      <c r="H8" s="136">
        <v>43477</v>
      </c>
      <c r="J8" s="137">
        <v>43499</v>
      </c>
      <c r="K8" s="134">
        <v>43500</v>
      </c>
      <c r="L8" s="134">
        <v>43501</v>
      </c>
      <c r="M8" s="134">
        <v>43502</v>
      </c>
      <c r="N8" s="134">
        <v>43503</v>
      </c>
      <c r="O8" s="134">
        <v>43504</v>
      </c>
      <c r="P8" s="136">
        <v>43505</v>
      </c>
      <c r="R8" s="120">
        <v>43527</v>
      </c>
      <c r="S8" s="118">
        <v>43528</v>
      </c>
      <c r="T8" s="118">
        <v>43529</v>
      </c>
      <c r="U8" s="118">
        <v>43530</v>
      </c>
      <c r="V8" s="118">
        <v>43531</v>
      </c>
      <c r="W8" s="118">
        <v>43532</v>
      </c>
      <c r="X8" s="119">
        <v>43533</v>
      </c>
      <c r="Z8" s="120">
        <v>43562</v>
      </c>
      <c r="AA8" s="118">
        <v>43563</v>
      </c>
      <c r="AB8" s="118">
        <v>43564</v>
      </c>
      <c r="AC8" s="118">
        <v>43565</v>
      </c>
      <c r="AD8" s="118">
        <v>43566</v>
      </c>
      <c r="AE8" s="118">
        <v>43567</v>
      </c>
      <c r="AF8" s="119">
        <v>43568</v>
      </c>
    </row>
    <row r="9" spans="2:32" s="128" customFormat="1" x14ac:dyDescent="0.25">
      <c r="B9" s="137">
        <v>43478</v>
      </c>
      <c r="C9" s="134">
        <v>43479</v>
      </c>
      <c r="D9" s="134">
        <v>43480</v>
      </c>
      <c r="E9" s="134">
        <v>43481</v>
      </c>
      <c r="F9" s="134">
        <v>43482</v>
      </c>
      <c r="G9" s="134">
        <v>43483</v>
      </c>
      <c r="H9" s="136">
        <v>43484</v>
      </c>
      <c r="J9" s="137">
        <v>43506</v>
      </c>
      <c r="K9" s="134">
        <v>43507</v>
      </c>
      <c r="L9" s="134">
        <v>43508</v>
      </c>
      <c r="M9" s="134">
        <v>43509</v>
      </c>
      <c r="N9" s="134">
        <v>43510</v>
      </c>
      <c r="O9" s="134">
        <v>43511</v>
      </c>
      <c r="P9" s="136">
        <v>43512</v>
      </c>
      <c r="R9" s="120">
        <v>43534</v>
      </c>
      <c r="S9" s="118">
        <v>43535</v>
      </c>
      <c r="T9" s="118">
        <v>43536</v>
      </c>
      <c r="U9" s="118">
        <v>43537</v>
      </c>
      <c r="V9" s="118">
        <v>43538</v>
      </c>
      <c r="W9" s="118">
        <v>43539</v>
      </c>
      <c r="X9" s="119">
        <v>43540</v>
      </c>
      <c r="Z9" s="120">
        <v>43569</v>
      </c>
      <c r="AA9" s="118">
        <v>43570</v>
      </c>
      <c r="AB9" s="118">
        <v>43571</v>
      </c>
      <c r="AC9" s="118">
        <v>43572</v>
      </c>
      <c r="AD9" s="118">
        <v>43573</v>
      </c>
      <c r="AE9" s="118">
        <v>43574</v>
      </c>
      <c r="AF9" s="119">
        <v>43575</v>
      </c>
    </row>
    <row r="10" spans="2:32" s="128" customFormat="1" x14ac:dyDescent="0.25">
      <c r="B10" s="137">
        <v>43485</v>
      </c>
      <c r="C10" s="134">
        <v>43486</v>
      </c>
      <c r="D10" s="134">
        <v>43487</v>
      </c>
      <c r="E10" s="134">
        <v>43488</v>
      </c>
      <c r="F10" s="134">
        <v>43489</v>
      </c>
      <c r="G10" s="135">
        <v>43490</v>
      </c>
      <c r="H10" s="119">
        <v>43491</v>
      </c>
      <c r="J10" s="137">
        <v>43513</v>
      </c>
      <c r="K10" s="134">
        <v>43514</v>
      </c>
      <c r="L10" s="134">
        <v>43515</v>
      </c>
      <c r="M10" s="134">
        <v>43516</v>
      </c>
      <c r="N10" s="134">
        <v>43517</v>
      </c>
      <c r="O10" s="134">
        <v>43518</v>
      </c>
      <c r="P10" s="136">
        <v>43519</v>
      </c>
      <c r="R10" s="120">
        <v>43541</v>
      </c>
      <c r="S10" s="118">
        <v>43542</v>
      </c>
      <c r="T10" s="118">
        <v>43543</v>
      </c>
      <c r="U10" s="118">
        <v>43544</v>
      </c>
      <c r="V10" s="118">
        <v>43545</v>
      </c>
      <c r="W10" s="118">
        <v>43546</v>
      </c>
      <c r="X10" s="119">
        <v>43547</v>
      </c>
      <c r="Z10" s="120">
        <v>43576</v>
      </c>
      <c r="AA10" s="118">
        <v>43577</v>
      </c>
      <c r="AB10" s="118">
        <v>43578</v>
      </c>
      <c r="AC10" s="118">
        <v>43579</v>
      </c>
      <c r="AD10" s="118">
        <v>43580</v>
      </c>
      <c r="AE10" s="118">
        <v>43581</v>
      </c>
      <c r="AF10" s="119">
        <v>43582</v>
      </c>
    </row>
    <row r="11" spans="2:32" s="128" customFormat="1" x14ac:dyDescent="0.25">
      <c r="B11" s="120">
        <v>43492</v>
      </c>
      <c r="C11" s="118">
        <v>43493</v>
      </c>
      <c r="D11" s="118">
        <v>43494</v>
      </c>
      <c r="E11" s="118">
        <v>43495</v>
      </c>
      <c r="F11" s="118">
        <v>43496</v>
      </c>
      <c r="G11" s="118"/>
      <c r="H11" s="121"/>
      <c r="J11" s="137">
        <v>43520</v>
      </c>
      <c r="K11" s="134">
        <v>43521</v>
      </c>
      <c r="L11" s="134">
        <v>43522</v>
      </c>
      <c r="M11" s="134">
        <v>43523</v>
      </c>
      <c r="N11" s="135">
        <v>43524</v>
      </c>
      <c r="O11" s="118"/>
      <c r="P11" s="119"/>
      <c r="R11" s="120">
        <v>43548</v>
      </c>
      <c r="S11" s="118">
        <v>43549</v>
      </c>
      <c r="T11" s="118">
        <v>43550</v>
      </c>
      <c r="U11" s="118">
        <v>43551</v>
      </c>
      <c r="V11" s="118">
        <v>43552</v>
      </c>
      <c r="W11" s="118">
        <v>43553</v>
      </c>
      <c r="X11" s="119">
        <v>43554</v>
      </c>
      <c r="Z11" s="120">
        <v>43583</v>
      </c>
      <c r="AA11" s="118">
        <v>43584</v>
      </c>
      <c r="AB11" s="118">
        <v>43585</v>
      </c>
      <c r="AC11" s="118"/>
      <c r="AD11" s="118"/>
      <c r="AE11" s="118"/>
      <c r="AF11" s="121"/>
    </row>
    <row r="12" spans="2:32" s="128" customFormat="1" ht="15.75" thickBot="1" x14ac:dyDescent="0.3">
      <c r="B12" s="122"/>
      <c r="C12" s="123"/>
      <c r="D12" s="123"/>
      <c r="E12" s="123"/>
      <c r="F12" s="123"/>
      <c r="G12" s="123"/>
      <c r="H12" s="124"/>
      <c r="J12" s="122"/>
      <c r="K12" s="123"/>
      <c r="L12" s="123"/>
      <c r="M12" s="123"/>
      <c r="N12" s="123"/>
      <c r="O12" s="123"/>
      <c r="P12" s="124"/>
      <c r="R12" s="125">
        <v>43555</v>
      </c>
      <c r="S12" s="123"/>
      <c r="T12" s="123"/>
      <c r="U12" s="123"/>
      <c r="V12" s="123"/>
      <c r="W12" s="123"/>
      <c r="X12" s="124"/>
      <c r="Z12" s="122"/>
      <c r="AA12" s="123"/>
      <c r="AB12" s="123"/>
      <c r="AC12" s="123"/>
      <c r="AD12" s="123"/>
      <c r="AE12" s="123"/>
      <c r="AF12" s="124"/>
    </row>
    <row r="13" spans="2:32" s="129" customFormat="1" ht="5.0999999999999996" customHeight="1" thickBot="1" x14ac:dyDescent="0.3"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</row>
    <row r="14" spans="2:32" x14ac:dyDescent="0.25">
      <c r="B14" s="131" t="s">
        <v>42</v>
      </c>
      <c r="C14" s="132"/>
      <c r="D14" s="132"/>
      <c r="E14" s="132"/>
      <c r="F14" s="132"/>
      <c r="G14" s="132"/>
      <c r="H14" s="133"/>
      <c r="J14" s="131" t="s">
        <v>43</v>
      </c>
      <c r="K14" s="132"/>
      <c r="L14" s="132"/>
      <c r="M14" s="132"/>
      <c r="N14" s="132"/>
      <c r="O14" s="132"/>
      <c r="P14" s="133"/>
      <c r="R14" s="131" t="s">
        <v>44</v>
      </c>
      <c r="S14" s="132"/>
      <c r="T14" s="132"/>
      <c r="U14" s="132"/>
      <c r="V14" s="132"/>
      <c r="W14" s="132"/>
      <c r="X14" s="133"/>
      <c r="Z14" s="131" t="s">
        <v>45</v>
      </c>
      <c r="AA14" s="132"/>
      <c r="AB14" s="132"/>
      <c r="AC14" s="132"/>
      <c r="AD14" s="132"/>
      <c r="AE14" s="132"/>
      <c r="AF14" s="133"/>
    </row>
    <row r="15" spans="2:32" x14ac:dyDescent="0.25">
      <c r="B15" s="110" t="s">
        <v>106</v>
      </c>
      <c r="C15" s="111" t="s">
        <v>107</v>
      </c>
      <c r="D15" s="111" t="s">
        <v>108</v>
      </c>
      <c r="E15" s="111" t="s">
        <v>109</v>
      </c>
      <c r="F15" s="111" t="s">
        <v>109</v>
      </c>
      <c r="G15" s="111" t="s">
        <v>107</v>
      </c>
      <c r="H15" s="112" t="s">
        <v>107</v>
      </c>
      <c r="J15" s="110" t="s">
        <v>106</v>
      </c>
      <c r="K15" s="111" t="s">
        <v>107</v>
      </c>
      <c r="L15" s="111" t="s">
        <v>108</v>
      </c>
      <c r="M15" s="111" t="s">
        <v>109</v>
      </c>
      <c r="N15" s="111" t="s">
        <v>109</v>
      </c>
      <c r="O15" s="111" t="s">
        <v>107</v>
      </c>
      <c r="P15" s="112" t="s">
        <v>107</v>
      </c>
      <c r="R15" s="110" t="s">
        <v>106</v>
      </c>
      <c r="S15" s="111" t="s">
        <v>107</v>
      </c>
      <c r="T15" s="111" t="s">
        <v>108</v>
      </c>
      <c r="U15" s="111" t="s">
        <v>109</v>
      </c>
      <c r="V15" s="111" t="s">
        <v>109</v>
      </c>
      <c r="W15" s="111" t="s">
        <v>107</v>
      </c>
      <c r="X15" s="112" t="s">
        <v>107</v>
      </c>
      <c r="Z15" s="110" t="s">
        <v>106</v>
      </c>
      <c r="AA15" s="111" t="s">
        <v>107</v>
      </c>
      <c r="AB15" s="111" t="s">
        <v>108</v>
      </c>
      <c r="AC15" s="111" t="s">
        <v>109</v>
      </c>
      <c r="AD15" s="111" t="s">
        <v>109</v>
      </c>
      <c r="AE15" s="111" t="s">
        <v>107</v>
      </c>
      <c r="AF15" s="112" t="s">
        <v>107</v>
      </c>
    </row>
    <row r="16" spans="2:32" s="128" customFormat="1" x14ac:dyDescent="0.25">
      <c r="B16" s="116"/>
      <c r="C16" s="117"/>
      <c r="D16" s="118"/>
      <c r="E16" s="118">
        <v>43586</v>
      </c>
      <c r="F16" s="118">
        <v>43587</v>
      </c>
      <c r="G16" s="118">
        <v>43588</v>
      </c>
      <c r="H16" s="119">
        <v>43589</v>
      </c>
      <c r="J16" s="116"/>
      <c r="K16" s="118"/>
      <c r="L16" s="118"/>
      <c r="M16" s="118"/>
      <c r="N16" s="118"/>
      <c r="O16" s="118"/>
      <c r="P16" s="119">
        <v>43617</v>
      </c>
      <c r="R16" s="116"/>
      <c r="S16" s="118">
        <v>43647</v>
      </c>
      <c r="T16" s="118">
        <v>43648</v>
      </c>
      <c r="U16" s="118">
        <v>43649</v>
      </c>
      <c r="V16" s="118">
        <v>43650</v>
      </c>
      <c r="W16" s="118">
        <v>43651</v>
      </c>
      <c r="X16" s="119">
        <v>43652</v>
      </c>
      <c r="Z16" s="116"/>
      <c r="AA16" s="117"/>
      <c r="AB16" s="118"/>
      <c r="AC16" s="118"/>
      <c r="AD16" s="118">
        <v>43678</v>
      </c>
      <c r="AE16" s="118">
        <v>43679</v>
      </c>
      <c r="AF16" s="119">
        <v>43680</v>
      </c>
    </row>
    <row r="17" spans="1:32" s="128" customFormat="1" x14ac:dyDescent="0.25">
      <c r="B17" s="120">
        <v>43590</v>
      </c>
      <c r="C17" s="118">
        <v>43591</v>
      </c>
      <c r="D17" s="118">
        <v>43592</v>
      </c>
      <c r="E17" s="118">
        <v>43593</v>
      </c>
      <c r="F17" s="118">
        <v>43594</v>
      </c>
      <c r="G17" s="118">
        <v>43595</v>
      </c>
      <c r="H17" s="119">
        <v>43596</v>
      </c>
      <c r="J17" s="120">
        <v>43618</v>
      </c>
      <c r="K17" s="118">
        <v>43619</v>
      </c>
      <c r="L17" s="118">
        <v>43620</v>
      </c>
      <c r="M17" s="118">
        <v>43621</v>
      </c>
      <c r="N17" s="118">
        <v>43622</v>
      </c>
      <c r="O17" s="118">
        <v>43623</v>
      </c>
      <c r="P17" s="119">
        <v>43624</v>
      </c>
      <c r="R17" s="120">
        <v>43653</v>
      </c>
      <c r="S17" s="118">
        <v>43654</v>
      </c>
      <c r="T17" s="118">
        <v>43655</v>
      </c>
      <c r="U17" s="118">
        <v>43656</v>
      </c>
      <c r="V17" s="118">
        <v>43657</v>
      </c>
      <c r="W17" s="118">
        <v>43658</v>
      </c>
      <c r="X17" s="119">
        <v>43659</v>
      </c>
      <c r="Z17" s="120">
        <v>43681</v>
      </c>
      <c r="AA17" s="118">
        <v>43682</v>
      </c>
      <c r="AB17" s="118">
        <v>43683</v>
      </c>
      <c r="AC17" s="118">
        <v>43684</v>
      </c>
      <c r="AD17" s="118">
        <v>43685</v>
      </c>
      <c r="AE17" s="118">
        <v>43686</v>
      </c>
      <c r="AF17" s="119">
        <v>43687</v>
      </c>
    </row>
    <row r="18" spans="1:32" s="128" customFormat="1" x14ac:dyDescent="0.25">
      <c r="B18" s="120">
        <v>43597</v>
      </c>
      <c r="C18" s="118">
        <v>43598</v>
      </c>
      <c r="D18" s="118">
        <v>43599</v>
      </c>
      <c r="E18" s="118">
        <v>43600</v>
      </c>
      <c r="F18" s="118">
        <v>43601</v>
      </c>
      <c r="G18" s="118">
        <v>43602</v>
      </c>
      <c r="H18" s="119">
        <v>43603</v>
      </c>
      <c r="J18" s="120">
        <v>43625</v>
      </c>
      <c r="K18" s="118">
        <v>43626</v>
      </c>
      <c r="L18" s="118">
        <v>43627</v>
      </c>
      <c r="M18" s="118">
        <v>43628</v>
      </c>
      <c r="N18" s="118">
        <v>43629</v>
      </c>
      <c r="O18" s="118">
        <v>43630</v>
      </c>
      <c r="P18" s="119">
        <v>43631</v>
      </c>
      <c r="R18" s="120">
        <v>43660</v>
      </c>
      <c r="S18" s="118">
        <v>43661</v>
      </c>
      <c r="T18" s="118">
        <v>43662</v>
      </c>
      <c r="U18" s="118">
        <v>43663</v>
      </c>
      <c r="V18" s="118">
        <v>43664</v>
      </c>
      <c r="W18" s="118">
        <v>43665</v>
      </c>
      <c r="X18" s="119">
        <v>43666</v>
      </c>
      <c r="Z18" s="120">
        <v>43688</v>
      </c>
      <c r="AA18" s="118">
        <v>43689</v>
      </c>
      <c r="AB18" s="118">
        <v>43690</v>
      </c>
      <c r="AC18" s="118">
        <v>43691</v>
      </c>
      <c r="AD18" s="118">
        <v>43692</v>
      </c>
      <c r="AE18" s="118">
        <v>43693</v>
      </c>
      <c r="AF18" s="119">
        <v>43694</v>
      </c>
    </row>
    <row r="19" spans="1:32" s="128" customFormat="1" x14ac:dyDescent="0.25">
      <c r="B19" s="120">
        <v>43604</v>
      </c>
      <c r="C19" s="118">
        <v>43605</v>
      </c>
      <c r="D19" s="118">
        <v>43606</v>
      </c>
      <c r="E19" s="118">
        <v>43607</v>
      </c>
      <c r="F19" s="118">
        <v>43608</v>
      </c>
      <c r="G19" s="118">
        <v>43609</v>
      </c>
      <c r="H19" s="119">
        <v>43610</v>
      </c>
      <c r="J19" s="120">
        <v>43632</v>
      </c>
      <c r="K19" s="118">
        <v>43633</v>
      </c>
      <c r="L19" s="118">
        <v>43634</v>
      </c>
      <c r="M19" s="118">
        <v>43635</v>
      </c>
      <c r="N19" s="118">
        <v>43636</v>
      </c>
      <c r="O19" s="118">
        <v>43637</v>
      </c>
      <c r="P19" s="119">
        <v>43638</v>
      </c>
      <c r="R19" s="120">
        <v>43667</v>
      </c>
      <c r="S19" s="118">
        <v>43668</v>
      </c>
      <c r="T19" s="118">
        <v>43669</v>
      </c>
      <c r="U19" s="118">
        <v>43670</v>
      </c>
      <c r="V19" s="118">
        <v>43671</v>
      </c>
      <c r="W19" s="118">
        <v>43672</v>
      </c>
      <c r="X19" s="119">
        <v>43673</v>
      </c>
      <c r="Z19" s="120">
        <v>43695</v>
      </c>
      <c r="AA19" s="118">
        <v>43696</v>
      </c>
      <c r="AB19" s="118">
        <v>43697</v>
      </c>
      <c r="AC19" s="118">
        <v>43698</v>
      </c>
      <c r="AD19" s="118">
        <v>43699</v>
      </c>
      <c r="AE19" s="118">
        <v>43700</v>
      </c>
      <c r="AF19" s="119">
        <v>43701</v>
      </c>
    </row>
    <row r="20" spans="1:32" s="128" customFormat="1" x14ac:dyDescent="0.25">
      <c r="B20" s="120">
        <v>43611</v>
      </c>
      <c r="C20" s="118">
        <v>43612</v>
      </c>
      <c r="D20" s="118">
        <v>43613</v>
      </c>
      <c r="E20" s="118">
        <v>43614</v>
      </c>
      <c r="F20" s="118">
        <v>43615</v>
      </c>
      <c r="G20" s="118">
        <v>43616</v>
      </c>
      <c r="H20" s="119"/>
      <c r="J20" s="120">
        <v>43639</v>
      </c>
      <c r="K20" s="118">
        <v>43640</v>
      </c>
      <c r="L20" s="118">
        <v>43641</v>
      </c>
      <c r="M20" s="118">
        <v>43642</v>
      </c>
      <c r="N20" s="118">
        <v>43643</v>
      </c>
      <c r="O20" s="118">
        <v>43644</v>
      </c>
      <c r="P20" s="119">
        <v>43645</v>
      </c>
      <c r="R20" s="120">
        <v>43674</v>
      </c>
      <c r="S20" s="118">
        <v>43675</v>
      </c>
      <c r="T20" s="118">
        <v>43676</v>
      </c>
      <c r="U20" s="118">
        <v>43677</v>
      </c>
      <c r="V20" s="118"/>
      <c r="W20" s="118"/>
      <c r="X20" s="121"/>
      <c r="Z20" s="120">
        <v>43702</v>
      </c>
      <c r="AA20" s="118">
        <v>43703</v>
      </c>
      <c r="AB20" s="118">
        <v>43704</v>
      </c>
      <c r="AC20" s="118">
        <v>43705</v>
      </c>
      <c r="AD20" s="118">
        <v>43706</v>
      </c>
      <c r="AE20" s="118">
        <v>43707</v>
      </c>
      <c r="AF20" s="119">
        <v>43708</v>
      </c>
    </row>
    <row r="21" spans="1:32" s="128" customFormat="1" ht="15.75" thickBot="1" x14ac:dyDescent="0.3">
      <c r="B21" s="125"/>
      <c r="C21" s="123"/>
      <c r="D21" s="123"/>
      <c r="E21" s="123"/>
      <c r="F21" s="123"/>
      <c r="G21" s="123"/>
      <c r="H21" s="124"/>
      <c r="J21" s="125">
        <v>43646</v>
      </c>
      <c r="K21" s="123"/>
      <c r="L21" s="123"/>
      <c r="M21" s="123"/>
      <c r="N21" s="123"/>
      <c r="O21" s="123"/>
      <c r="P21" s="124"/>
      <c r="R21" s="122"/>
      <c r="S21" s="123"/>
      <c r="T21" s="123"/>
      <c r="U21" s="123"/>
      <c r="V21" s="123"/>
      <c r="W21" s="123"/>
      <c r="X21" s="124"/>
      <c r="Z21" s="125"/>
      <c r="AA21" s="126"/>
      <c r="AB21" s="123"/>
      <c r="AC21" s="123"/>
      <c r="AD21" s="123"/>
      <c r="AE21" s="123"/>
      <c r="AF21" s="124"/>
    </row>
    <row r="22" spans="1:32" s="128" customFormat="1" ht="5.0999999999999996" customHeight="1" thickBot="1" x14ac:dyDescent="0.3"/>
    <row r="23" spans="1:32" x14ac:dyDescent="0.25">
      <c r="B23" s="131" t="s">
        <v>53</v>
      </c>
      <c r="C23" s="132"/>
      <c r="D23" s="132"/>
      <c r="E23" s="132"/>
      <c r="F23" s="132"/>
      <c r="G23" s="132"/>
      <c r="H23" s="133"/>
      <c r="J23" s="131" t="s">
        <v>54</v>
      </c>
      <c r="K23" s="132"/>
      <c r="L23" s="132"/>
      <c r="M23" s="132"/>
      <c r="N23" s="132"/>
      <c r="O23" s="132"/>
      <c r="P23" s="133"/>
      <c r="R23" s="131" t="s">
        <v>0</v>
      </c>
      <c r="S23" s="132"/>
      <c r="T23" s="132"/>
      <c r="U23" s="132"/>
      <c r="V23" s="132"/>
      <c r="W23" s="132"/>
      <c r="X23" s="133"/>
      <c r="Z23" s="131" t="s">
        <v>17</v>
      </c>
      <c r="AA23" s="132"/>
      <c r="AB23" s="132"/>
      <c r="AC23" s="132"/>
      <c r="AD23" s="132"/>
      <c r="AE23" s="132"/>
      <c r="AF23" s="133"/>
    </row>
    <row r="24" spans="1:32" x14ac:dyDescent="0.25">
      <c r="B24" s="110" t="s">
        <v>106</v>
      </c>
      <c r="C24" s="111" t="s">
        <v>107</v>
      </c>
      <c r="D24" s="111" t="s">
        <v>108</v>
      </c>
      <c r="E24" s="111" t="s">
        <v>109</v>
      </c>
      <c r="F24" s="111" t="s">
        <v>109</v>
      </c>
      <c r="G24" s="111" t="s">
        <v>107</v>
      </c>
      <c r="H24" s="112" t="s">
        <v>107</v>
      </c>
      <c r="J24" s="110" t="s">
        <v>106</v>
      </c>
      <c r="K24" s="111" t="s">
        <v>107</v>
      </c>
      <c r="L24" s="111" t="s">
        <v>108</v>
      </c>
      <c r="M24" s="111" t="s">
        <v>109</v>
      </c>
      <c r="N24" s="111" t="s">
        <v>109</v>
      </c>
      <c r="O24" s="111" t="s">
        <v>107</v>
      </c>
      <c r="P24" s="112" t="s">
        <v>107</v>
      </c>
      <c r="R24" s="110" t="s">
        <v>106</v>
      </c>
      <c r="S24" s="111" t="s">
        <v>107</v>
      </c>
      <c r="T24" s="111" t="s">
        <v>108</v>
      </c>
      <c r="U24" s="111" t="s">
        <v>109</v>
      </c>
      <c r="V24" s="111" t="s">
        <v>109</v>
      </c>
      <c r="W24" s="111" t="s">
        <v>107</v>
      </c>
      <c r="X24" s="112" t="s">
        <v>107</v>
      </c>
      <c r="Z24" s="110" t="s">
        <v>106</v>
      </c>
      <c r="AA24" s="111" t="s">
        <v>107</v>
      </c>
      <c r="AB24" s="111" t="s">
        <v>108</v>
      </c>
      <c r="AC24" s="111" t="s">
        <v>109</v>
      </c>
      <c r="AD24" s="111" t="s">
        <v>109</v>
      </c>
      <c r="AE24" s="111" t="s">
        <v>107</v>
      </c>
      <c r="AF24" s="112" t="s">
        <v>107</v>
      </c>
    </row>
    <row r="25" spans="1:32" s="128" customFormat="1" x14ac:dyDescent="0.25">
      <c r="B25" s="120">
        <v>43709</v>
      </c>
      <c r="C25" s="118">
        <v>43710</v>
      </c>
      <c r="D25" s="118">
        <v>43711</v>
      </c>
      <c r="E25" s="118">
        <v>43712</v>
      </c>
      <c r="F25" s="118">
        <v>43713</v>
      </c>
      <c r="G25" s="118">
        <v>43714</v>
      </c>
      <c r="H25" s="119">
        <v>43715</v>
      </c>
      <c r="J25" s="120"/>
      <c r="K25" s="118"/>
      <c r="L25" s="118">
        <v>43739</v>
      </c>
      <c r="M25" s="118">
        <v>43740</v>
      </c>
      <c r="N25" s="118">
        <v>43741</v>
      </c>
      <c r="O25" s="118">
        <v>43742</v>
      </c>
      <c r="P25" s="119">
        <v>43743</v>
      </c>
      <c r="R25" s="120"/>
      <c r="S25" s="118"/>
      <c r="T25" s="118"/>
      <c r="U25" s="118"/>
      <c r="V25" s="118"/>
      <c r="W25" s="118">
        <v>43770</v>
      </c>
      <c r="X25" s="119">
        <v>43771</v>
      </c>
      <c r="Z25" s="120">
        <v>43800</v>
      </c>
      <c r="AA25" s="118">
        <v>43801</v>
      </c>
      <c r="AB25" s="118">
        <v>43802</v>
      </c>
      <c r="AC25" s="118">
        <v>43803</v>
      </c>
      <c r="AD25" s="118">
        <v>43804</v>
      </c>
      <c r="AE25" s="118">
        <v>43805</v>
      </c>
      <c r="AF25" s="119">
        <v>43806</v>
      </c>
    </row>
    <row r="26" spans="1:32" s="128" customFormat="1" x14ac:dyDescent="0.25">
      <c r="A26" s="130"/>
      <c r="B26" s="120">
        <v>43716</v>
      </c>
      <c r="C26" s="118">
        <v>43717</v>
      </c>
      <c r="D26" s="118">
        <v>43718</v>
      </c>
      <c r="E26" s="118">
        <v>43719</v>
      </c>
      <c r="F26" s="118">
        <v>43720</v>
      </c>
      <c r="G26" s="118">
        <v>43721</v>
      </c>
      <c r="H26" s="119">
        <v>43722</v>
      </c>
      <c r="I26" s="130"/>
      <c r="J26" s="120">
        <v>43744</v>
      </c>
      <c r="K26" s="118">
        <v>43745</v>
      </c>
      <c r="L26" s="118">
        <v>43746</v>
      </c>
      <c r="M26" s="118">
        <v>43747</v>
      </c>
      <c r="N26" s="118">
        <v>43748</v>
      </c>
      <c r="O26" s="118">
        <v>43749</v>
      </c>
      <c r="P26" s="119">
        <v>43750</v>
      </c>
      <c r="Q26" s="130"/>
      <c r="R26" s="120">
        <v>43772</v>
      </c>
      <c r="S26" s="118">
        <v>43773</v>
      </c>
      <c r="T26" s="118">
        <v>43774</v>
      </c>
      <c r="U26" s="118">
        <v>43775</v>
      </c>
      <c r="V26" s="118">
        <v>43776</v>
      </c>
      <c r="W26" s="118">
        <v>43777</v>
      </c>
      <c r="X26" s="119">
        <v>43778</v>
      </c>
      <c r="Y26" s="130"/>
      <c r="Z26" s="120">
        <v>43807</v>
      </c>
      <c r="AA26" s="118">
        <v>43808</v>
      </c>
      <c r="AB26" s="118">
        <v>43809</v>
      </c>
      <c r="AC26" s="118">
        <v>43810</v>
      </c>
      <c r="AD26" s="118">
        <v>43811</v>
      </c>
      <c r="AE26" s="118">
        <v>43812</v>
      </c>
      <c r="AF26" s="119">
        <v>43813</v>
      </c>
    </row>
    <row r="27" spans="1:32" s="128" customFormat="1" x14ac:dyDescent="0.25">
      <c r="A27" s="130"/>
      <c r="B27" s="120">
        <v>43723</v>
      </c>
      <c r="C27" s="118">
        <v>43724</v>
      </c>
      <c r="D27" s="118">
        <v>43725</v>
      </c>
      <c r="E27" s="118">
        <v>43726</v>
      </c>
      <c r="F27" s="118">
        <v>43727</v>
      </c>
      <c r="G27" s="118">
        <v>43728</v>
      </c>
      <c r="H27" s="119">
        <v>43729</v>
      </c>
      <c r="I27" s="130"/>
      <c r="J27" s="120">
        <v>43751</v>
      </c>
      <c r="K27" s="118">
        <v>43752</v>
      </c>
      <c r="L27" s="118">
        <v>43753</v>
      </c>
      <c r="M27" s="118">
        <v>43754</v>
      </c>
      <c r="N27" s="118">
        <v>43755</v>
      </c>
      <c r="O27" s="118">
        <v>43756</v>
      </c>
      <c r="P27" s="119">
        <v>43757</v>
      </c>
      <c r="Q27" s="130"/>
      <c r="R27" s="120">
        <v>43779</v>
      </c>
      <c r="S27" s="118">
        <v>43780</v>
      </c>
      <c r="T27" s="118">
        <v>43781</v>
      </c>
      <c r="U27" s="118">
        <v>43782</v>
      </c>
      <c r="V27" s="118">
        <v>43783</v>
      </c>
      <c r="W27" s="118">
        <v>43784</v>
      </c>
      <c r="X27" s="119">
        <v>43785</v>
      </c>
      <c r="Y27" s="130"/>
      <c r="Z27" s="120">
        <v>43814</v>
      </c>
      <c r="AA27" s="118">
        <v>43815</v>
      </c>
      <c r="AB27" s="118">
        <v>43816</v>
      </c>
      <c r="AC27" s="118">
        <v>43817</v>
      </c>
      <c r="AD27" s="118">
        <v>43818</v>
      </c>
      <c r="AE27" s="118">
        <v>43819</v>
      </c>
      <c r="AF27" s="119">
        <v>43820</v>
      </c>
    </row>
    <row r="28" spans="1:32" s="128" customFormat="1" x14ac:dyDescent="0.25">
      <c r="A28" s="130"/>
      <c r="B28" s="120">
        <v>43730</v>
      </c>
      <c r="C28" s="118">
        <v>43731</v>
      </c>
      <c r="D28" s="118">
        <v>43732</v>
      </c>
      <c r="E28" s="118">
        <v>43733</v>
      </c>
      <c r="F28" s="118">
        <v>43734</v>
      </c>
      <c r="G28" s="118">
        <v>43735</v>
      </c>
      <c r="H28" s="119">
        <v>43736</v>
      </c>
      <c r="I28" s="130"/>
      <c r="J28" s="120">
        <v>43758</v>
      </c>
      <c r="K28" s="118">
        <v>43759</v>
      </c>
      <c r="L28" s="118">
        <v>43760</v>
      </c>
      <c r="M28" s="118">
        <v>43761</v>
      </c>
      <c r="N28" s="118">
        <v>43762</v>
      </c>
      <c r="O28" s="118">
        <v>43763</v>
      </c>
      <c r="P28" s="119">
        <v>43764</v>
      </c>
      <c r="Q28" s="130"/>
      <c r="R28" s="120">
        <v>43786</v>
      </c>
      <c r="S28" s="118">
        <v>43787</v>
      </c>
      <c r="T28" s="118">
        <v>43788</v>
      </c>
      <c r="U28" s="118">
        <v>43789</v>
      </c>
      <c r="V28" s="118">
        <v>43790</v>
      </c>
      <c r="W28" s="118">
        <v>43791</v>
      </c>
      <c r="X28" s="119">
        <v>43792</v>
      </c>
      <c r="Y28" s="130"/>
      <c r="Z28" s="120">
        <v>43821</v>
      </c>
      <c r="AA28" s="118">
        <v>43822</v>
      </c>
      <c r="AB28" s="118">
        <v>43823</v>
      </c>
      <c r="AC28" s="118">
        <v>43824</v>
      </c>
      <c r="AD28" s="118">
        <v>43825</v>
      </c>
      <c r="AE28" s="118">
        <v>43826</v>
      </c>
      <c r="AF28" s="119">
        <v>43827</v>
      </c>
    </row>
    <row r="29" spans="1:32" s="128" customFormat="1" x14ac:dyDescent="0.25">
      <c r="A29" s="130"/>
      <c r="B29" s="120">
        <v>43737</v>
      </c>
      <c r="C29" s="118">
        <v>43738</v>
      </c>
      <c r="D29" s="118"/>
      <c r="E29" s="118"/>
      <c r="F29" s="118"/>
      <c r="G29" s="118"/>
      <c r="H29" s="119"/>
      <c r="I29" s="130"/>
      <c r="J29" s="120">
        <v>43765</v>
      </c>
      <c r="K29" s="118">
        <v>43766</v>
      </c>
      <c r="L29" s="118">
        <v>43767</v>
      </c>
      <c r="M29" s="118">
        <v>43768</v>
      </c>
      <c r="N29" s="118">
        <v>43769</v>
      </c>
      <c r="O29" s="118"/>
      <c r="P29" s="119"/>
      <c r="Q29" s="130"/>
      <c r="R29" s="120">
        <v>43793</v>
      </c>
      <c r="S29" s="118">
        <v>43794</v>
      </c>
      <c r="T29" s="118">
        <v>43795</v>
      </c>
      <c r="U29" s="118">
        <v>43796</v>
      </c>
      <c r="V29" s="118">
        <v>43797</v>
      </c>
      <c r="W29" s="118">
        <v>43798</v>
      </c>
      <c r="X29" s="119">
        <v>43799</v>
      </c>
      <c r="Y29" s="130"/>
      <c r="Z29" s="120">
        <v>43828</v>
      </c>
      <c r="AA29" s="118">
        <v>43829</v>
      </c>
      <c r="AB29" s="118">
        <v>43830</v>
      </c>
      <c r="AC29" s="118"/>
      <c r="AD29" s="118"/>
      <c r="AE29" s="118"/>
      <c r="AF29" s="119"/>
    </row>
    <row r="30" spans="1:32" s="128" customFormat="1" ht="15.75" thickBot="1" x14ac:dyDescent="0.3">
      <c r="A30" s="130"/>
      <c r="B30" s="125"/>
      <c r="C30" s="123"/>
      <c r="D30" s="123"/>
      <c r="E30" s="123"/>
      <c r="F30" s="123"/>
      <c r="G30" s="123"/>
      <c r="H30" s="124"/>
      <c r="J30" s="122"/>
      <c r="K30" s="123"/>
      <c r="L30" s="123"/>
      <c r="M30" s="123"/>
      <c r="N30" s="123"/>
      <c r="O30" s="123"/>
      <c r="P30" s="124"/>
      <c r="R30" s="122"/>
      <c r="S30" s="123"/>
      <c r="T30" s="123"/>
      <c r="U30" s="123"/>
      <c r="V30" s="123"/>
      <c r="W30" s="123"/>
      <c r="X30" s="124"/>
      <c r="Y30" s="130"/>
      <c r="Z30" s="125"/>
      <c r="AA30" s="126"/>
      <c r="AB30" s="123"/>
      <c r="AC30" s="123"/>
      <c r="AD30" s="123"/>
      <c r="AE30" s="123"/>
      <c r="AF30" s="124"/>
    </row>
  </sheetData>
  <mergeCells count="12">
    <mergeCell ref="B23:H23"/>
    <mergeCell ref="J23:P23"/>
    <mergeCell ref="R23:X23"/>
    <mergeCell ref="Z23:AF23"/>
    <mergeCell ref="B5:H5"/>
    <mergeCell ref="J5:P5"/>
    <mergeCell ref="R5:X5"/>
    <mergeCell ref="Z5:AF5"/>
    <mergeCell ref="B14:H14"/>
    <mergeCell ref="J14:P14"/>
    <mergeCell ref="R14:X14"/>
    <mergeCell ref="Z14:A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5" r:id="rId4" name="ddl_ano">
          <controlPr autoLine="0" autoPict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4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20485" r:id="rId4" name="ddl_an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4"/>
  <sheetViews>
    <sheetView workbookViewId="0">
      <selection activeCell="A5" sqref="A5:XFD5"/>
    </sheetView>
  </sheetViews>
  <sheetFormatPr defaultRowHeight="15" x14ac:dyDescent="0.25"/>
  <cols>
    <col min="1" max="1" width="10.7109375" bestFit="1" customWidth="1"/>
    <col min="2" max="2" width="10.140625" bestFit="1" customWidth="1"/>
    <col min="3" max="3" width="10.5703125" bestFit="1" customWidth="1"/>
    <col min="4" max="5" width="10.7109375" bestFit="1" customWidth="1"/>
    <col min="6" max="6" width="7" bestFit="1" customWidth="1"/>
    <col min="7" max="7" width="11" customWidth="1"/>
    <col min="8" max="8" width="9.28515625" bestFit="1" customWidth="1"/>
    <col min="9" max="9" width="11" bestFit="1" customWidth="1"/>
    <col min="10" max="10" width="11.140625" bestFit="1" customWidth="1"/>
    <col min="11" max="11" width="6.5703125" bestFit="1" customWidth="1"/>
    <col min="12" max="12" width="48.28515625" customWidth="1"/>
  </cols>
  <sheetData>
    <row r="1" spans="1:12" x14ac:dyDescent="0.25">
      <c r="A1" t="s">
        <v>95</v>
      </c>
      <c r="B1" t="s">
        <v>91</v>
      </c>
      <c r="C1" t="s">
        <v>102</v>
      </c>
      <c r="D1" t="s">
        <v>96</v>
      </c>
      <c r="E1" t="s">
        <v>97</v>
      </c>
      <c r="F1" t="s">
        <v>101</v>
      </c>
      <c r="G1" t="s">
        <v>9</v>
      </c>
      <c r="H1" t="s">
        <v>103</v>
      </c>
      <c r="I1" t="s">
        <v>104</v>
      </c>
      <c r="J1" t="s">
        <v>98</v>
      </c>
      <c r="K1" t="s">
        <v>94</v>
      </c>
      <c r="L1" t="s">
        <v>115</v>
      </c>
    </row>
    <row r="2" spans="1:12" x14ac:dyDescent="0.25">
      <c r="A2">
        <v>1</v>
      </c>
      <c r="B2">
        <v>1</v>
      </c>
      <c r="C2" t="s">
        <v>112</v>
      </c>
      <c r="D2" s="108">
        <v>43466</v>
      </c>
      <c r="E2" s="108">
        <v>43475</v>
      </c>
      <c r="F2">
        <v>9</v>
      </c>
      <c r="G2" s="114" t="s">
        <v>117</v>
      </c>
      <c r="H2" t="s">
        <v>116</v>
      </c>
      <c r="I2" t="s">
        <v>113</v>
      </c>
      <c r="J2" t="s">
        <v>116</v>
      </c>
      <c r="K2" t="s">
        <v>114</v>
      </c>
    </row>
    <row r="3" spans="1:12" x14ac:dyDescent="0.25">
      <c r="A3">
        <v>2</v>
      </c>
      <c r="B3">
        <v>1</v>
      </c>
      <c r="C3" t="s">
        <v>112</v>
      </c>
      <c r="D3" s="108">
        <v>43497</v>
      </c>
      <c r="E3" s="108">
        <v>43524</v>
      </c>
      <c r="F3">
        <v>27</v>
      </c>
      <c r="G3" s="114" t="s">
        <v>118</v>
      </c>
      <c r="H3" t="s">
        <v>116</v>
      </c>
      <c r="I3" t="s">
        <v>113</v>
      </c>
      <c r="J3" t="s">
        <v>116</v>
      </c>
      <c r="K3" t="s">
        <v>114</v>
      </c>
    </row>
    <row r="4" spans="1:12" x14ac:dyDescent="0.25">
      <c r="A4">
        <v>3</v>
      </c>
      <c r="B4">
        <v>1</v>
      </c>
      <c r="C4" t="s">
        <v>119</v>
      </c>
      <c r="D4" s="108">
        <v>43475</v>
      </c>
      <c r="E4" s="108">
        <v>43490</v>
      </c>
      <c r="F4">
        <v>15</v>
      </c>
      <c r="G4" t="s">
        <v>120</v>
      </c>
      <c r="H4" t="s">
        <v>116</v>
      </c>
      <c r="I4" t="s">
        <v>113</v>
      </c>
      <c r="J4" t="s">
        <v>116</v>
      </c>
      <c r="K4" t="s">
        <v>114</v>
      </c>
      <c r="L4" t="s">
        <v>121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854"/>
  <sheetViews>
    <sheetView topLeftCell="A122" workbookViewId="0">
      <selection activeCell="U134" sqref="U134"/>
    </sheetView>
  </sheetViews>
  <sheetFormatPr defaultRowHeight="15" x14ac:dyDescent="0.25"/>
  <cols>
    <col min="1" max="1" width="13.42578125" style="1" bestFit="1" customWidth="1"/>
    <col min="2" max="2" width="10.7109375" style="108" bestFit="1" customWidth="1"/>
    <col min="3" max="3" width="10.7109375" style="109" customWidth="1"/>
    <col min="4" max="4" width="10.7109375" style="127" bestFit="1" customWidth="1"/>
    <col min="5" max="5" width="10.140625" style="127" bestFit="1" customWidth="1"/>
  </cols>
  <sheetData>
    <row r="1" spans="1:5" x14ac:dyDescent="0.25">
      <c r="A1" s="1" t="s">
        <v>89</v>
      </c>
      <c r="B1" s="108" t="s">
        <v>90</v>
      </c>
      <c r="C1" s="109" t="s">
        <v>99</v>
      </c>
      <c r="D1" s="127" t="s">
        <v>95</v>
      </c>
      <c r="E1" s="127" t="s">
        <v>91</v>
      </c>
    </row>
    <row r="2" spans="1:5" x14ac:dyDescent="0.25">
      <c r="A2" s="1" t="str">
        <f t="shared" ref="A2:A65" si="0">TEXT(B2,"dddd")</f>
        <v>sábado</v>
      </c>
      <c r="B2" s="108">
        <v>43344</v>
      </c>
      <c r="C2" s="109">
        <v>2</v>
      </c>
    </row>
    <row r="3" spans="1:5" x14ac:dyDescent="0.25">
      <c r="A3" s="1" t="str">
        <f t="shared" si="0"/>
        <v>domingo</v>
      </c>
      <c r="B3" s="108">
        <v>43345</v>
      </c>
      <c r="C3" s="109">
        <v>2</v>
      </c>
    </row>
    <row r="4" spans="1:5" x14ac:dyDescent="0.25">
      <c r="A4" s="1" t="str">
        <f t="shared" si="0"/>
        <v>segunda-feira</v>
      </c>
      <c r="B4" s="108">
        <v>43346</v>
      </c>
      <c r="C4" s="109">
        <v>2</v>
      </c>
    </row>
    <row r="5" spans="1:5" x14ac:dyDescent="0.25">
      <c r="A5" s="1" t="str">
        <f t="shared" si="0"/>
        <v>terça-feira</v>
      </c>
      <c r="B5" s="108">
        <v>43347</v>
      </c>
      <c r="C5" s="109">
        <v>2</v>
      </c>
    </row>
    <row r="6" spans="1:5" x14ac:dyDescent="0.25">
      <c r="A6" s="1" t="str">
        <f t="shared" si="0"/>
        <v>quarta-feira</v>
      </c>
      <c r="B6" s="108">
        <v>43348</v>
      </c>
      <c r="C6" s="109">
        <v>2</v>
      </c>
    </row>
    <row r="7" spans="1:5" x14ac:dyDescent="0.25">
      <c r="A7" s="1" t="str">
        <f t="shared" si="0"/>
        <v>quinta-feira</v>
      </c>
      <c r="B7" s="108">
        <v>43349</v>
      </c>
      <c r="C7" s="109">
        <v>2</v>
      </c>
    </row>
    <row r="8" spans="1:5" x14ac:dyDescent="0.25">
      <c r="A8" s="1" t="str">
        <f t="shared" si="0"/>
        <v>sexta-feira</v>
      </c>
      <c r="B8" s="108">
        <v>43350</v>
      </c>
      <c r="C8" s="109">
        <v>2</v>
      </c>
    </row>
    <row r="9" spans="1:5" x14ac:dyDescent="0.25">
      <c r="A9" s="1" t="str">
        <f t="shared" si="0"/>
        <v>sábado</v>
      </c>
      <c r="B9" s="108">
        <v>43351</v>
      </c>
      <c r="C9" s="109">
        <v>2</v>
      </c>
    </row>
    <row r="10" spans="1:5" x14ac:dyDescent="0.25">
      <c r="A10" s="1" t="str">
        <f t="shared" si="0"/>
        <v>domingo</v>
      </c>
      <c r="B10" s="108">
        <v>43352</v>
      </c>
      <c r="C10" s="109">
        <v>2</v>
      </c>
    </row>
    <row r="11" spans="1:5" x14ac:dyDescent="0.25">
      <c r="A11" s="1" t="str">
        <f t="shared" si="0"/>
        <v>segunda-feira</v>
      </c>
      <c r="B11" s="108">
        <v>43353</v>
      </c>
      <c r="C11" s="109">
        <v>2</v>
      </c>
    </row>
    <row r="12" spans="1:5" x14ac:dyDescent="0.25">
      <c r="A12" s="1" t="str">
        <f t="shared" si="0"/>
        <v>terça-feira</v>
      </c>
      <c r="B12" s="108">
        <v>43354</v>
      </c>
      <c r="C12" s="109">
        <v>2</v>
      </c>
    </row>
    <row r="13" spans="1:5" x14ac:dyDescent="0.25">
      <c r="A13" s="1" t="str">
        <f t="shared" si="0"/>
        <v>quarta-feira</v>
      </c>
      <c r="B13" s="108">
        <v>43355</v>
      </c>
      <c r="C13" s="109">
        <v>2</v>
      </c>
    </row>
    <row r="14" spans="1:5" x14ac:dyDescent="0.25">
      <c r="A14" s="1" t="str">
        <f t="shared" si="0"/>
        <v>quinta-feira</v>
      </c>
      <c r="B14" s="108">
        <v>43356</v>
      </c>
      <c r="C14" s="109">
        <v>2</v>
      </c>
    </row>
    <row r="15" spans="1:5" x14ac:dyDescent="0.25">
      <c r="A15" s="1" t="str">
        <f t="shared" si="0"/>
        <v>sexta-feira</v>
      </c>
      <c r="B15" s="108">
        <v>43357</v>
      </c>
      <c r="C15" s="109">
        <v>2</v>
      </c>
    </row>
    <row r="16" spans="1:5" x14ac:dyDescent="0.25">
      <c r="A16" s="1" t="str">
        <f t="shared" si="0"/>
        <v>sábado</v>
      </c>
      <c r="B16" s="108">
        <v>43358</v>
      </c>
      <c r="C16" s="109">
        <v>2</v>
      </c>
    </row>
    <row r="17" spans="1:3" x14ac:dyDescent="0.25">
      <c r="A17" s="1" t="str">
        <f t="shared" si="0"/>
        <v>domingo</v>
      </c>
      <c r="B17" s="108">
        <v>43359</v>
      </c>
      <c r="C17" s="109">
        <v>2</v>
      </c>
    </row>
    <row r="18" spans="1:3" x14ac:dyDescent="0.25">
      <c r="A18" s="1" t="str">
        <f t="shared" si="0"/>
        <v>segunda-feira</v>
      </c>
      <c r="B18" s="108">
        <v>43360</v>
      </c>
      <c r="C18" s="109">
        <v>2</v>
      </c>
    </row>
    <row r="19" spans="1:3" x14ac:dyDescent="0.25">
      <c r="A19" s="1" t="str">
        <f t="shared" si="0"/>
        <v>terça-feira</v>
      </c>
      <c r="B19" s="108">
        <v>43361</v>
      </c>
      <c r="C19" s="109">
        <v>2</v>
      </c>
    </row>
    <row r="20" spans="1:3" x14ac:dyDescent="0.25">
      <c r="A20" s="1" t="str">
        <f t="shared" si="0"/>
        <v>quarta-feira</v>
      </c>
      <c r="B20" s="108">
        <v>43362</v>
      </c>
      <c r="C20" s="109">
        <v>2</v>
      </c>
    </row>
    <row r="21" spans="1:3" x14ac:dyDescent="0.25">
      <c r="A21" s="1" t="str">
        <f t="shared" si="0"/>
        <v>quinta-feira</v>
      </c>
      <c r="B21" s="108">
        <v>43363</v>
      </c>
      <c r="C21" s="109">
        <v>2</v>
      </c>
    </row>
    <row r="22" spans="1:3" x14ac:dyDescent="0.25">
      <c r="A22" s="1" t="str">
        <f t="shared" si="0"/>
        <v>sexta-feira</v>
      </c>
      <c r="B22" s="108">
        <v>43364</v>
      </c>
      <c r="C22" s="109">
        <v>2</v>
      </c>
    </row>
    <row r="23" spans="1:3" x14ac:dyDescent="0.25">
      <c r="A23" s="1" t="str">
        <f t="shared" si="0"/>
        <v>sábado</v>
      </c>
      <c r="B23" s="108">
        <v>43365</v>
      </c>
      <c r="C23" s="109">
        <v>2</v>
      </c>
    </row>
    <row r="24" spans="1:3" x14ac:dyDescent="0.25">
      <c r="A24" s="1" t="str">
        <f t="shared" si="0"/>
        <v>domingo</v>
      </c>
      <c r="B24" s="108">
        <v>43366</v>
      </c>
      <c r="C24" s="109">
        <v>2</v>
      </c>
    </row>
    <row r="25" spans="1:3" x14ac:dyDescent="0.25">
      <c r="A25" s="1" t="str">
        <f t="shared" si="0"/>
        <v>segunda-feira</v>
      </c>
      <c r="B25" s="108">
        <v>43367</v>
      </c>
      <c r="C25" s="109">
        <v>2</v>
      </c>
    </row>
    <row r="26" spans="1:3" x14ac:dyDescent="0.25">
      <c r="A26" s="1" t="str">
        <f t="shared" si="0"/>
        <v>terça-feira</v>
      </c>
      <c r="B26" s="108">
        <v>43368</v>
      </c>
      <c r="C26" s="109">
        <v>2</v>
      </c>
    </row>
    <row r="27" spans="1:3" x14ac:dyDescent="0.25">
      <c r="A27" s="1" t="str">
        <f t="shared" si="0"/>
        <v>quarta-feira</v>
      </c>
      <c r="B27" s="108">
        <v>43369</v>
      </c>
      <c r="C27" s="109">
        <v>2</v>
      </c>
    </row>
    <row r="28" spans="1:3" x14ac:dyDescent="0.25">
      <c r="A28" s="1" t="str">
        <f t="shared" si="0"/>
        <v>quinta-feira</v>
      </c>
      <c r="B28" s="108">
        <v>43370</v>
      </c>
      <c r="C28" s="109">
        <v>2</v>
      </c>
    </row>
    <row r="29" spans="1:3" x14ac:dyDescent="0.25">
      <c r="A29" s="1" t="str">
        <f t="shared" si="0"/>
        <v>sexta-feira</v>
      </c>
      <c r="B29" s="108">
        <v>43371</v>
      </c>
      <c r="C29" s="109">
        <v>2</v>
      </c>
    </row>
    <row r="30" spans="1:3" x14ac:dyDescent="0.25">
      <c r="A30" s="1" t="str">
        <f t="shared" si="0"/>
        <v>sábado</v>
      </c>
      <c r="B30" s="108">
        <v>43372</v>
      </c>
      <c r="C30" s="109">
        <v>2</v>
      </c>
    </row>
    <row r="31" spans="1:3" x14ac:dyDescent="0.25">
      <c r="A31" s="1" t="str">
        <f t="shared" si="0"/>
        <v>domingo</v>
      </c>
      <c r="B31" s="108">
        <v>43373</v>
      </c>
      <c r="C31" s="109">
        <v>2</v>
      </c>
    </row>
    <row r="32" spans="1:3" x14ac:dyDescent="0.25">
      <c r="A32" s="1" t="str">
        <f t="shared" si="0"/>
        <v>segunda-feira</v>
      </c>
      <c r="B32" s="108">
        <v>43374</v>
      </c>
      <c r="C32" s="109">
        <v>2</v>
      </c>
    </row>
    <row r="33" spans="1:3" x14ac:dyDescent="0.25">
      <c r="A33" s="1" t="str">
        <f t="shared" si="0"/>
        <v>terça-feira</v>
      </c>
      <c r="B33" s="108">
        <v>43375</v>
      </c>
      <c r="C33" s="109">
        <v>2</v>
      </c>
    </row>
    <row r="34" spans="1:3" x14ac:dyDescent="0.25">
      <c r="A34" s="1" t="str">
        <f t="shared" si="0"/>
        <v>quarta-feira</v>
      </c>
      <c r="B34" s="108">
        <v>43376</v>
      </c>
      <c r="C34" s="109">
        <v>2</v>
      </c>
    </row>
    <row r="35" spans="1:3" x14ac:dyDescent="0.25">
      <c r="A35" s="1" t="str">
        <f t="shared" si="0"/>
        <v>quinta-feira</v>
      </c>
      <c r="B35" s="108">
        <v>43377</v>
      </c>
      <c r="C35" s="109">
        <v>2</v>
      </c>
    </row>
    <row r="36" spans="1:3" x14ac:dyDescent="0.25">
      <c r="A36" s="1" t="str">
        <f t="shared" si="0"/>
        <v>sexta-feira</v>
      </c>
      <c r="B36" s="108">
        <v>43378</v>
      </c>
      <c r="C36" s="109">
        <v>2</v>
      </c>
    </row>
    <row r="37" spans="1:3" x14ac:dyDescent="0.25">
      <c r="A37" s="1" t="str">
        <f t="shared" si="0"/>
        <v>sábado</v>
      </c>
      <c r="B37" s="108">
        <v>43379</v>
      </c>
      <c r="C37" s="109">
        <v>2</v>
      </c>
    </row>
    <row r="38" spans="1:3" x14ac:dyDescent="0.25">
      <c r="A38" s="1" t="str">
        <f t="shared" si="0"/>
        <v>domingo</v>
      </c>
      <c r="B38" s="108">
        <v>43380</v>
      </c>
      <c r="C38" s="109">
        <v>2</v>
      </c>
    </row>
    <row r="39" spans="1:3" x14ac:dyDescent="0.25">
      <c r="A39" s="1" t="str">
        <f t="shared" si="0"/>
        <v>segunda-feira</v>
      </c>
      <c r="B39" s="108">
        <v>43381</v>
      </c>
      <c r="C39" s="109">
        <v>2</v>
      </c>
    </row>
    <row r="40" spans="1:3" x14ac:dyDescent="0.25">
      <c r="A40" s="1" t="str">
        <f t="shared" si="0"/>
        <v>terça-feira</v>
      </c>
      <c r="B40" s="108">
        <v>43382</v>
      </c>
      <c r="C40" s="109">
        <v>2</v>
      </c>
    </row>
    <row r="41" spans="1:3" x14ac:dyDescent="0.25">
      <c r="A41" s="1" t="str">
        <f t="shared" si="0"/>
        <v>quarta-feira</v>
      </c>
      <c r="B41" s="108">
        <v>43383</v>
      </c>
      <c r="C41" s="109">
        <v>2</v>
      </c>
    </row>
    <row r="42" spans="1:3" x14ac:dyDescent="0.25">
      <c r="A42" s="1" t="str">
        <f t="shared" si="0"/>
        <v>quinta-feira</v>
      </c>
      <c r="B42" s="108">
        <v>43384</v>
      </c>
      <c r="C42" s="109">
        <v>2</v>
      </c>
    </row>
    <row r="43" spans="1:3" x14ac:dyDescent="0.25">
      <c r="A43" s="1" t="str">
        <f t="shared" si="0"/>
        <v>sexta-feira</v>
      </c>
      <c r="B43" s="108">
        <v>43385</v>
      </c>
      <c r="C43" s="109">
        <v>2</v>
      </c>
    </row>
    <row r="44" spans="1:3" x14ac:dyDescent="0.25">
      <c r="A44" s="1" t="str">
        <f t="shared" si="0"/>
        <v>sábado</v>
      </c>
      <c r="B44" s="108">
        <v>43386</v>
      </c>
      <c r="C44" s="109">
        <v>2</v>
      </c>
    </row>
    <row r="45" spans="1:3" x14ac:dyDescent="0.25">
      <c r="A45" s="1" t="str">
        <f t="shared" si="0"/>
        <v>domingo</v>
      </c>
      <c r="B45" s="108">
        <v>43387</v>
      </c>
      <c r="C45" s="109">
        <v>2</v>
      </c>
    </row>
    <row r="46" spans="1:3" x14ac:dyDescent="0.25">
      <c r="A46" s="1" t="str">
        <f t="shared" si="0"/>
        <v>segunda-feira</v>
      </c>
      <c r="B46" s="108">
        <v>43388</v>
      </c>
      <c r="C46" s="109">
        <v>2</v>
      </c>
    </row>
    <row r="47" spans="1:3" x14ac:dyDescent="0.25">
      <c r="A47" s="1" t="str">
        <f t="shared" si="0"/>
        <v>terça-feira</v>
      </c>
      <c r="B47" s="108">
        <v>43389</v>
      </c>
      <c r="C47" s="109">
        <v>2</v>
      </c>
    </row>
    <row r="48" spans="1:3" x14ac:dyDescent="0.25">
      <c r="A48" s="1" t="str">
        <f t="shared" si="0"/>
        <v>quarta-feira</v>
      </c>
      <c r="B48" s="108">
        <v>43390</v>
      </c>
      <c r="C48" s="109">
        <v>2</v>
      </c>
    </row>
    <row r="49" spans="1:3" x14ac:dyDescent="0.25">
      <c r="A49" s="1" t="str">
        <f t="shared" si="0"/>
        <v>quinta-feira</v>
      </c>
      <c r="B49" s="108">
        <v>43391</v>
      </c>
      <c r="C49" s="109">
        <v>2</v>
      </c>
    </row>
    <row r="50" spans="1:3" x14ac:dyDescent="0.25">
      <c r="A50" s="1" t="str">
        <f t="shared" si="0"/>
        <v>sexta-feira</v>
      </c>
      <c r="B50" s="108">
        <v>43392</v>
      </c>
      <c r="C50" s="109">
        <v>2</v>
      </c>
    </row>
    <row r="51" spans="1:3" x14ac:dyDescent="0.25">
      <c r="A51" s="1" t="str">
        <f t="shared" si="0"/>
        <v>sábado</v>
      </c>
      <c r="B51" s="108">
        <v>43393</v>
      </c>
      <c r="C51" s="109">
        <v>2</v>
      </c>
    </row>
    <row r="52" spans="1:3" x14ac:dyDescent="0.25">
      <c r="A52" s="1" t="str">
        <f t="shared" si="0"/>
        <v>domingo</v>
      </c>
      <c r="B52" s="108">
        <v>43394</v>
      </c>
      <c r="C52" s="109">
        <v>2</v>
      </c>
    </row>
    <row r="53" spans="1:3" x14ac:dyDescent="0.25">
      <c r="A53" s="1" t="str">
        <f t="shared" si="0"/>
        <v>segunda-feira</v>
      </c>
      <c r="B53" s="108">
        <v>43395</v>
      </c>
      <c r="C53" s="109">
        <v>2</v>
      </c>
    </row>
    <row r="54" spans="1:3" x14ac:dyDescent="0.25">
      <c r="A54" s="1" t="str">
        <f t="shared" si="0"/>
        <v>terça-feira</v>
      </c>
      <c r="B54" s="108">
        <v>43396</v>
      </c>
      <c r="C54" s="109">
        <v>2</v>
      </c>
    </row>
    <row r="55" spans="1:3" x14ac:dyDescent="0.25">
      <c r="A55" s="1" t="str">
        <f t="shared" si="0"/>
        <v>quarta-feira</v>
      </c>
      <c r="B55" s="108">
        <v>43397</v>
      </c>
      <c r="C55" s="109">
        <v>2</v>
      </c>
    </row>
    <row r="56" spans="1:3" x14ac:dyDescent="0.25">
      <c r="A56" s="1" t="str">
        <f t="shared" si="0"/>
        <v>quinta-feira</v>
      </c>
      <c r="B56" s="108">
        <v>43398</v>
      </c>
      <c r="C56" s="109">
        <v>2</v>
      </c>
    </row>
    <row r="57" spans="1:3" x14ac:dyDescent="0.25">
      <c r="A57" s="1" t="str">
        <f t="shared" si="0"/>
        <v>sexta-feira</v>
      </c>
      <c r="B57" s="108">
        <v>43399</v>
      </c>
      <c r="C57" s="109">
        <v>2</v>
      </c>
    </row>
    <row r="58" spans="1:3" x14ac:dyDescent="0.25">
      <c r="A58" s="1" t="str">
        <f t="shared" si="0"/>
        <v>sábado</v>
      </c>
      <c r="B58" s="108">
        <v>43400</v>
      </c>
      <c r="C58" s="109">
        <v>2</v>
      </c>
    </row>
    <row r="59" spans="1:3" x14ac:dyDescent="0.25">
      <c r="A59" s="1" t="str">
        <f t="shared" si="0"/>
        <v>domingo</v>
      </c>
      <c r="B59" s="108">
        <v>43401</v>
      </c>
      <c r="C59" s="109">
        <v>2</v>
      </c>
    </row>
    <row r="60" spans="1:3" x14ac:dyDescent="0.25">
      <c r="A60" s="1" t="str">
        <f t="shared" si="0"/>
        <v>segunda-feira</v>
      </c>
      <c r="B60" s="108">
        <v>43402</v>
      </c>
      <c r="C60" s="109">
        <v>2</v>
      </c>
    </row>
    <row r="61" spans="1:3" x14ac:dyDescent="0.25">
      <c r="A61" s="1" t="str">
        <f t="shared" si="0"/>
        <v>terça-feira</v>
      </c>
      <c r="B61" s="108">
        <v>43403</v>
      </c>
      <c r="C61" s="109">
        <v>2</v>
      </c>
    </row>
    <row r="62" spans="1:3" x14ac:dyDescent="0.25">
      <c r="A62" s="1" t="str">
        <f t="shared" si="0"/>
        <v>quarta-feira</v>
      </c>
      <c r="B62" s="108">
        <v>43404</v>
      </c>
      <c r="C62" s="109">
        <v>2</v>
      </c>
    </row>
    <row r="63" spans="1:3" x14ac:dyDescent="0.25">
      <c r="A63" s="1" t="str">
        <f t="shared" si="0"/>
        <v>quinta-feira</v>
      </c>
      <c r="B63" s="108">
        <v>43405</v>
      </c>
      <c r="C63" s="109">
        <v>2</v>
      </c>
    </row>
    <row r="64" spans="1:3" x14ac:dyDescent="0.25">
      <c r="A64" s="1" t="str">
        <f t="shared" si="0"/>
        <v>sexta-feira</v>
      </c>
      <c r="B64" s="108">
        <v>43406</v>
      </c>
      <c r="C64" s="109">
        <v>2</v>
      </c>
    </row>
    <row r="65" spans="1:3" x14ac:dyDescent="0.25">
      <c r="A65" s="1" t="str">
        <f t="shared" si="0"/>
        <v>sábado</v>
      </c>
      <c r="B65" s="108">
        <v>43407</v>
      </c>
      <c r="C65" s="109">
        <v>2</v>
      </c>
    </row>
    <row r="66" spans="1:3" x14ac:dyDescent="0.25">
      <c r="A66" s="1" t="str">
        <f t="shared" ref="A66:A123" si="1">TEXT(B66,"dddd")</f>
        <v>domingo</v>
      </c>
      <c r="B66" s="108">
        <v>43408</v>
      </c>
      <c r="C66" s="109">
        <v>2</v>
      </c>
    </row>
    <row r="67" spans="1:3" x14ac:dyDescent="0.25">
      <c r="A67" s="1" t="str">
        <f t="shared" si="1"/>
        <v>segunda-feira</v>
      </c>
      <c r="B67" s="108">
        <v>43409</v>
      </c>
      <c r="C67" s="109">
        <v>2</v>
      </c>
    </row>
    <row r="68" spans="1:3" x14ac:dyDescent="0.25">
      <c r="A68" s="1" t="str">
        <f t="shared" si="1"/>
        <v>terça-feira</v>
      </c>
      <c r="B68" s="108">
        <v>43410</v>
      </c>
      <c r="C68" s="109">
        <v>2</v>
      </c>
    </row>
    <row r="69" spans="1:3" x14ac:dyDescent="0.25">
      <c r="A69" s="1" t="str">
        <f t="shared" si="1"/>
        <v>quarta-feira</v>
      </c>
      <c r="B69" s="108">
        <v>43411</v>
      </c>
      <c r="C69" s="109">
        <v>2</v>
      </c>
    </row>
    <row r="70" spans="1:3" x14ac:dyDescent="0.25">
      <c r="A70" s="1" t="str">
        <f t="shared" si="1"/>
        <v>quinta-feira</v>
      </c>
      <c r="B70" s="108">
        <v>43412</v>
      </c>
      <c r="C70" s="109">
        <v>2</v>
      </c>
    </row>
    <row r="71" spans="1:3" x14ac:dyDescent="0.25">
      <c r="A71" s="1" t="str">
        <f t="shared" si="1"/>
        <v>sexta-feira</v>
      </c>
      <c r="B71" s="108">
        <v>43413</v>
      </c>
      <c r="C71" s="109">
        <v>2</v>
      </c>
    </row>
    <row r="72" spans="1:3" x14ac:dyDescent="0.25">
      <c r="A72" s="1" t="str">
        <f t="shared" si="1"/>
        <v>sábado</v>
      </c>
      <c r="B72" s="108">
        <v>43414</v>
      </c>
      <c r="C72" s="109">
        <v>2</v>
      </c>
    </row>
    <row r="73" spans="1:3" x14ac:dyDescent="0.25">
      <c r="A73" s="1" t="str">
        <f t="shared" si="1"/>
        <v>domingo</v>
      </c>
      <c r="B73" s="108">
        <v>43415</v>
      </c>
      <c r="C73" s="109">
        <v>2</v>
      </c>
    </row>
    <row r="74" spans="1:3" x14ac:dyDescent="0.25">
      <c r="A74" s="1" t="str">
        <f t="shared" si="1"/>
        <v>segunda-feira</v>
      </c>
      <c r="B74" s="108">
        <v>43416</v>
      </c>
      <c r="C74" s="109">
        <v>2</v>
      </c>
    </row>
    <row r="75" spans="1:3" x14ac:dyDescent="0.25">
      <c r="A75" s="1" t="str">
        <f t="shared" si="1"/>
        <v>terça-feira</v>
      </c>
      <c r="B75" s="108">
        <v>43417</v>
      </c>
      <c r="C75" s="109">
        <v>2</v>
      </c>
    </row>
    <row r="76" spans="1:3" x14ac:dyDescent="0.25">
      <c r="A76" s="1" t="str">
        <f t="shared" si="1"/>
        <v>quarta-feira</v>
      </c>
      <c r="B76" s="108">
        <v>43418</v>
      </c>
      <c r="C76" s="109">
        <v>2</v>
      </c>
    </row>
    <row r="77" spans="1:3" x14ac:dyDescent="0.25">
      <c r="A77" s="1" t="str">
        <f t="shared" si="1"/>
        <v>quinta-feira</v>
      </c>
      <c r="B77" s="108">
        <v>43419</v>
      </c>
      <c r="C77" s="109">
        <v>2</v>
      </c>
    </row>
    <row r="78" spans="1:3" x14ac:dyDescent="0.25">
      <c r="A78" s="1" t="str">
        <f t="shared" si="1"/>
        <v>sexta-feira</v>
      </c>
      <c r="B78" s="108">
        <v>43420</v>
      </c>
      <c r="C78" s="109">
        <v>2</v>
      </c>
    </row>
    <row r="79" spans="1:3" x14ac:dyDescent="0.25">
      <c r="A79" s="1" t="str">
        <f t="shared" si="1"/>
        <v>sábado</v>
      </c>
      <c r="B79" s="108">
        <v>43421</v>
      </c>
      <c r="C79" s="109">
        <v>2</v>
      </c>
    </row>
    <row r="80" spans="1:3" x14ac:dyDescent="0.25">
      <c r="A80" s="1" t="str">
        <f t="shared" si="1"/>
        <v>domingo</v>
      </c>
      <c r="B80" s="108">
        <v>43422</v>
      </c>
      <c r="C80" s="109">
        <v>2</v>
      </c>
    </row>
    <row r="81" spans="1:3" x14ac:dyDescent="0.25">
      <c r="A81" s="1" t="str">
        <f t="shared" si="1"/>
        <v>segunda-feira</v>
      </c>
      <c r="B81" s="108">
        <v>43423</v>
      </c>
      <c r="C81" s="109">
        <v>2</v>
      </c>
    </row>
    <row r="82" spans="1:3" x14ac:dyDescent="0.25">
      <c r="A82" s="1" t="str">
        <f t="shared" si="1"/>
        <v>terça-feira</v>
      </c>
      <c r="B82" s="108">
        <v>43424</v>
      </c>
      <c r="C82" s="109">
        <v>2</v>
      </c>
    </row>
    <row r="83" spans="1:3" x14ac:dyDescent="0.25">
      <c r="A83" s="1" t="str">
        <f t="shared" si="1"/>
        <v>quarta-feira</v>
      </c>
      <c r="B83" s="108">
        <v>43425</v>
      </c>
      <c r="C83" s="109">
        <v>2</v>
      </c>
    </row>
    <row r="84" spans="1:3" x14ac:dyDescent="0.25">
      <c r="A84" s="1" t="str">
        <f t="shared" si="1"/>
        <v>quinta-feira</v>
      </c>
      <c r="B84" s="108">
        <v>43426</v>
      </c>
      <c r="C84" s="109">
        <v>2</v>
      </c>
    </row>
    <row r="85" spans="1:3" x14ac:dyDescent="0.25">
      <c r="A85" s="1" t="str">
        <f t="shared" si="1"/>
        <v>sexta-feira</v>
      </c>
      <c r="B85" s="108">
        <v>43427</v>
      </c>
      <c r="C85" s="109">
        <v>2</v>
      </c>
    </row>
    <row r="86" spans="1:3" x14ac:dyDescent="0.25">
      <c r="A86" s="1" t="str">
        <f t="shared" si="1"/>
        <v>sábado</v>
      </c>
      <c r="B86" s="108">
        <v>43428</v>
      </c>
      <c r="C86" s="109">
        <v>2</v>
      </c>
    </row>
    <row r="87" spans="1:3" x14ac:dyDescent="0.25">
      <c r="A87" s="1" t="str">
        <f t="shared" si="1"/>
        <v>domingo</v>
      </c>
      <c r="B87" s="108">
        <v>43429</v>
      </c>
      <c r="C87" s="109">
        <v>2</v>
      </c>
    </row>
    <row r="88" spans="1:3" x14ac:dyDescent="0.25">
      <c r="A88" s="1" t="str">
        <f t="shared" si="1"/>
        <v>segunda-feira</v>
      </c>
      <c r="B88" s="108">
        <v>43430</v>
      </c>
      <c r="C88" s="109">
        <v>2</v>
      </c>
    </row>
    <row r="89" spans="1:3" x14ac:dyDescent="0.25">
      <c r="A89" s="1" t="str">
        <f t="shared" si="1"/>
        <v>terça-feira</v>
      </c>
      <c r="B89" s="108">
        <v>43431</v>
      </c>
      <c r="C89" s="109">
        <v>2</v>
      </c>
    </row>
    <row r="90" spans="1:3" x14ac:dyDescent="0.25">
      <c r="A90" s="1" t="str">
        <f t="shared" si="1"/>
        <v>quarta-feira</v>
      </c>
      <c r="B90" s="108">
        <v>43432</v>
      </c>
      <c r="C90" s="109">
        <v>2</v>
      </c>
    </row>
    <row r="91" spans="1:3" x14ac:dyDescent="0.25">
      <c r="A91" s="1" t="str">
        <f t="shared" si="1"/>
        <v>quinta-feira</v>
      </c>
      <c r="B91" s="108">
        <v>43433</v>
      </c>
      <c r="C91" s="109">
        <v>2</v>
      </c>
    </row>
    <row r="92" spans="1:3" x14ac:dyDescent="0.25">
      <c r="A92" s="1" t="str">
        <f t="shared" si="1"/>
        <v>sexta-feira</v>
      </c>
      <c r="B92" s="108">
        <v>43434</v>
      </c>
      <c r="C92" s="109">
        <v>2</v>
      </c>
    </row>
    <row r="93" spans="1:3" x14ac:dyDescent="0.25">
      <c r="A93" s="1" t="str">
        <f t="shared" si="1"/>
        <v>sábado</v>
      </c>
      <c r="B93" s="108">
        <v>43435</v>
      </c>
      <c r="C93" s="109">
        <v>2</v>
      </c>
    </row>
    <row r="94" spans="1:3" x14ac:dyDescent="0.25">
      <c r="A94" s="1" t="str">
        <f t="shared" si="1"/>
        <v>domingo</v>
      </c>
      <c r="B94" s="108">
        <v>43436</v>
      </c>
      <c r="C94" s="109">
        <v>2</v>
      </c>
    </row>
    <row r="95" spans="1:3" x14ac:dyDescent="0.25">
      <c r="A95" s="1" t="str">
        <f t="shared" si="1"/>
        <v>segunda-feira</v>
      </c>
      <c r="B95" s="108">
        <v>43437</v>
      </c>
      <c r="C95" s="109">
        <v>2</v>
      </c>
    </row>
    <row r="96" spans="1:3" x14ac:dyDescent="0.25">
      <c r="A96" s="1" t="str">
        <f t="shared" si="1"/>
        <v>terça-feira</v>
      </c>
      <c r="B96" s="108">
        <v>43438</v>
      </c>
      <c r="C96" s="109">
        <v>2</v>
      </c>
    </row>
    <row r="97" spans="1:3" x14ac:dyDescent="0.25">
      <c r="A97" s="1" t="str">
        <f t="shared" si="1"/>
        <v>quarta-feira</v>
      </c>
      <c r="B97" s="108">
        <v>43439</v>
      </c>
      <c r="C97" s="109">
        <v>2</v>
      </c>
    </row>
    <row r="98" spans="1:3" x14ac:dyDescent="0.25">
      <c r="A98" s="1" t="str">
        <f t="shared" si="1"/>
        <v>quinta-feira</v>
      </c>
      <c r="B98" s="108">
        <v>43440</v>
      </c>
      <c r="C98" s="109">
        <v>2</v>
      </c>
    </row>
    <row r="99" spans="1:3" x14ac:dyDescent="0.25">
      <c r="A99" s="1" t="str">
        <f t="shared" si="1"/>
        <v>sexta-feira</v>
      </c>
      <c r="B99" s="108">
        <v>43441</v>
      </c>
      <c r="C99" s="109">
        <v>2</v>
      </c>
    </row>
    <row r="100" spans="1:3" x14ac:dyDescent="0.25">
      <c r="A100" s="1" t="str">
        <f t="shared" si="1"/>
        <v>sábado</v>
      </c>
      <c r="B100" s="108">
        <v>43442</v>
      </c>
      <c r="C100" s="109">
        <v>2</v>
      </c>
    </row>
    <row r="101" spans="1:3" x14ac:dyDescent="0.25">
      <c r="A101" s="1" t="str">
        <f t="shared" si="1"/>
        <v>domingo</v>
      </c>
      <c r="B101" s="108">
        <v>43443</v>
      </c>
      <c r="C101" s="109">
        <v>2</v>
      </c>
    </row>
    <row r="102" spans="1:3" x14ac:dyDescent="0.25">
      <c r="A102" s="1" t="str">
        <f t="shared" si="1"/>
        <v>segunda-feira</v>
      </c>
      <c r="B102" s="108">
        <v>43444</v>
      </c>
      <c r="C102" s="109">
        <v>2</v>
      </c>
    </row>
    <row r="103" spans="1:3" x14ac:dyDescent="0.25">
      <c r="A103" s="1" t="str">
        <f t="shared" si="1"/>
        <v>terça-feira</v>
      </c>
      <c r="B103" s="108">
        <v>43445</v>
      </c>
      <c r="C103" s="109">
        <v>2</v>
      </c>
    </row>
    <row r="104" spans="1:3" x14ac:dyDescent="0.25">
      <c r="A104" s="1" t="str">
        <f t="shared" si="1"/>
        <v>quarta-feira</v>
      </c>
      <c r="B104" s="108">
        <v>43446</v>
      </c>
      <c r="C104" s="109">
        <v>2</v>
      </c>
    </row>
    <row r="105" spans="1:3" x14ac:dyDescent="0.25">
      <c r="A105" s="1" t="str">
        <f t="shared" si="1"/>
        <v>quinta-feira</v>
      </c>
      <c r="B105" s="108">
        <v>43447</v>
      </c>
      <c r="C105" s="109">
        <v>2</v>
      </c>
    </row>
    <row r="106" spans="1:3" x14ac:dyDescent="0.25">
      <c r="A106" s="1" t="str">
        <f t="shared" si="1"/>
        <v>sexta-feira</v>
      </c>
      <c r="B106" s="108">
        <v>43448</v>
      </c>
      <c r="C106" s="109">
        <v>2</v>
      </c>
    </row>
    <row r="107" spans="1:3" x14ac:dyDescent="0.25">
      <c r="A107" s="1" t="str">
        <f t="shared" si="1"/>
        <v>sábado</v>
      </c>
      <c r="B107" s="108">
        <v>43449</v>
      </c>
      <c r="C107" s="109">
        <v>2</v>
      </c>
    </row>
    <row r="108" spans="1:3" x14ac:dyDescent="0.25">
      <c r="A108" s="1" t="str">
        <f t="shared" si="1"/>
        <v>domingo</v>
      </c>
      <c r="B108" s="108">
        <v>43450</v>
      </c>
      <c r="C108" s="109">
        <v>2</v>
      </c>
    </row>
    <row r="109" spans="1:3" x14ac:dyDescent="0.25">
      <c r="A109" s="1" t="str">
        <f t="shared" si="1"/>
        <v>segunda-feira</v>
      </c>
      <c r="B109" s="108">
        <v>43451</v>
      </c>
      <c r="C109" s="109">
        <v>2</v>
      </c>
    </row>
    <row r="110" spans="1:3" x14ac:dyDescent="0.25">
      <c r="A110" s="1" t="str">
        <f t="shared" si="1"/>
        <v>terça-feira</v>
      </c>
      <c r="B110" s="108">
        <v>43452</v>
      </c>
      <c r="C110" s="109">
        <v>2</v>
      </c>
    </row>
    <row r="111" spans="1:3" x14ac:dyDescent="0.25">
      <c r="A111" s="1" t="str">
        <f t="shared" si="1"/>
        <v>quarta-feira</v>
      </c>
      <c r="B111" s="108">
        <v>43453</v>
      </c>
      <c r="C111" s="109">
        <v>2</v>
      </c>
    </row>
    <row r="112" spans="1:3" x14ac:dyDescent="0.25">
      <c r="A112" s="1" t="str">
        <f t="shared" si="1"/>
        <v>quinta-feira</v>
      </c>
      <c r="B112" s="108">
        <v>43454</v>
      </c>
      <c r="C112" s="109">
        <v>2</v>
      </c>
    </row>
    <row r="113" spans="1:5" x14ac:dyDescent="0.25">
      <c r="A113" s="1" t="str">
        <f t="shared" si="1"/>
        <v>sexta-feira</v>
      </c>
      <c r="B113" s="108">
        <v>43455</v>
      </c>
      <c r="C113" s="109">
        <v>2</v>
      </c>
    </row>
    <row r="114" spans="1:5" x14ac:dyDescent="0.25">
      <c r="A114" s="1" t="str">
        <f t="shared" si="1"/>
        <v>sábado</v>
      </c>
      <c r="B114" s="108">
        <v>43456</v>
      </c>
      <c r="C114" s="109">
        <v>2</v>
      </c>
    </row>
    <row r="115" spans="1:5" x14ac:dyDescent="0.25">
      <c r="A115" s="1" t="str">
        <f t="shared" si="1"/>
        <v>domingo</v>
      </c>
      <c r="B115" s="108">
        <v>43457</v>
      </c>
      <c r="C115" s="109">
        <v>2</v>
      </c>
    </row>
    <row r="116" spans="1:5" x14ac:dyDescent="0.25">
      <c r="A116" s="1" t="str">
        <f t="shared" si="1"/>
        <v>segunda-feira</v>
      </c>
      <c r="B116" s="108">
        <v>43458</v>
      </c>
      <c r="C116" s="109">
        <v>2</v>
      </c>
    </row>
    <row r="117" spans="1:5" x14ac:dyDescent="0.25">
      <c r="A117" s="1" t="str">
        <f t="shared" si="1"/>
        <v>terça-feira</v>
      </c>
      <c r="B117" s="108">
        <v>43459</v>
      </c>
      <c r="C117" s="109">
        <v>2</v>
      </c>
    </row>
    <row r="118" spans="1:5" x14ac:dyDescent="0.25">
      <c r="A118" s="1" t="str">
        <f t="shared" si="1"/>
        <v>quarta-feira</v>
      </c>
      <c r="B118" s="108">
        <v>43460</v>
      </c>
      <c r="C118" s="109">
        <v>2</v>
      </c>
    </row>
    <row r="119" spans="1:5" x14ac:dyDescent="0.25">
      <c r="A119" s="1" t="str">
        <f t="shared" si="1"/>
        <v>quinta-feira</v>
      </c>
      <c r="B119" s="108">
        <v>43461</v>
      </c>
      <c r="C119" s="109">
        <v>2</v>
      </c>
    </row>
    <row r="120" spans="1:5" x14ac:dyDescent="0.25">
      <c r="A120" s="1" t="str">
        <f t="shared" si="1"/>
        <v>sexta-feira</v>
      </c>
      <c r="B120" s="108">
        <v>43462</v>
      </c>
      <c r="C120" s="109">
        <v>2</v>
      </c>
    </row>
    <row r="121" spans="1:5" x14ac:dyDescent="0.25">
      <c r="A121" s="1" t="str">
        <f t="shared" si="1"/>
        <v>sábado</v>
      </c>
      <c r="B121" s="108">
        <v>43463</v>
      </c>
      <c r="C121" s="109">
        <v>2</v>
      </c>
    </row>
    <row r="122" spans="1:5" x14ac:dyDescent="0.25">
      <c r="A122" s="1" t="str">
        <f t="shared" si="1"/>
        <v>domingo</v>
      </c>
      <c r="B122" s="108">
        <v>43464</v>
      </c>
      <c r="C122" s="109">
        <v>2</v>
      </c>
    </row>
    <row r="123" spans="1:5" x14ac:dyDescent="0.25">
      <c r="A123" s="1" t="str">
        <f t="shared" si="1"/>
        <v>segunda-feira</v>
      </c>
      <c r="B123" s="108">
        <v>43465</v>
      </c>
      <c r="C123" s="109">
        <v>2</v>
      </c>
    </row>
    <row r="124" spans="1:5" x14ac:dyDescent="0.25">
      <c r="A124" s="1" t="str">
        <f>TEXT(B124,"dddd")</f>
        <v>terça-feira</v>
      </c>
      <c r="B124" s="108">
        <v>43466</v>
      </c>
      <c r="C124" s="109">
        <v>2</v>
      </c>
      <c r="D124" s="127" t="s">
        <v>124</v>
      </c>
      <c r="E124" s="127">
        <v>1</v>
      </c>
    </row>
    <row r="125" spans="1:5" x14ac:dyDescent="0.25">
      <c r="A125" s="1" t="str">
        <f t="shared" ref="A125:A188" si="2">TEXT(B125,"dddd")</f>
        <v>quarta-feira</v>
      </c>
      <c r="B125" s="108">
        <v>43467</v>
      </c>
      <c r="C125" s="109">
        <v>2</v>
      </c>
      <c r="D125" s="127">
        <v>1</v>
      </c>
      <c r="E125" s="127">
        <v>1</v>
      </c>
    </row>
    <row r="126" spans="1:5" x14ac:dyDescent="0.25">
      <c r="A126" s="1" t="str">
        <f t="shared" si="2"/>
        <v>quinta-feira</v>
      </c>
      <c r="B126" s="108">
        <v>43468</v>
      </c>
      <c r="C126" s="109">
        <v>2</v>
      </c>
      <c r="D126" s="127">
        <v>1</v>
      </c>
      <c r="E126" s="127">
        <v>1</v>
      </c>
    </row>
    <row r="127" spans="1:5" x14ac:dyDescent="0.25">
      <c r="A127" s="1" t="str">
        <f t="shared" si="2"/>
        <v>sexta-feira</v>
      </c>
      <c r="B127" s="108">
        <v>43469</v>
      </c>
      <c r="C127" s="109">
        <v>2</v>
      </c>
      <c r="D127" s="127">
        <v>1</v>
      </c>
      <c r="E127" s="127">
        <v>1</v>
      </c>
    </row>
    <row r="128" spans="1:5" x14ac:dyDescent="0.25">
      <c r="A128" s="1" t="str">
        <f t="shared" si="2"/>
        <v>sábado</v>
      </c>
      <c r="B128" s="108">
        <v>43470</v>
      </c>
      <c r="C128" s="109">
        <v>2</v>
      </c>
      <c r="D128" s="127">
        <v>1</v>
      </c>
      <c r="E128" s="127">
        <v>1</v>
      </c>
    </row>
    <row r="129" spans="1:5" x14ac:dyDescent="0.25">
      <c r="A129" s="1" t="str">
        <f t="shared" si="2"/>
        <v>domingo</v>
      </c>
      <c r="B129" s="108">
        <v>43471</v>
      </c>
      <c r="C129" s="109">
        <v>2</v>
      </c>
      <c r="D129" s="127">
        <v>1</v>
      </c>
      <c r="E129" s="127">
        <v>1</v>
      </c>
    </row>
    <row r="130" spans="1:5" x14ac:dyDescent="0.25">
      <c r="A130" s="1" t="str">
        <f t="shared" si="2"/>
        <v>segunda-feira</v>
      </c>
      <c r="B130" s="108">
        <v>43472</v>
      </c>
      <c r="C130" s="109">
        <v>2</v>
      </c>
      <c r="D130" s="127">
        <v>1</v>
      </c>
      <c r="E130" s="127">
        <v>1</v>
      </c>
    </row>
    <row r="131" spans="1:5" x14ac:dyDescent="0.25">
      <c r="A131" s="1" t="str">
        <f t="shared" si="2"/>
        <v>terça-feira</v>
      </c>
      <c r="B131" s="108">
        <v>43473</v>
      </c>
      <c r="C131" s="109">
        <v>2</v>
      </c>
      <c r="D131" s="127">
        <v>1</v>
      </c>
      <c r="E131" s="127">
        <v>1</v>
      </c>
    </row>
    <row r="132" spans="1:5" x14ac:dyDescent="0.25">
      <c r="A132" s="1" t="str">
        <f t="shared" si="2"/>
        <v>quarta-feira</v>
      </c>
      <c r="B132" s="108">
        <v>43474</v>
      </c>
      <c r="C132" s="109">
        <v>2</v>
      </c>
      <c r="D132" s="127">
        <v>1</v>
      </c>
      <c r="E132" s="127">
        <v>1</v>
      </c>
    </row>
    <row r="133" spans="1:5" x14ac:dyDescent="0.25">
      <c r="A133" s="1" t="str">
        <f t="shared" si="2"/>
        <v>quinta-feira</v>
      </c>
      <c r="B133" s="108">
        <v>43475</v>
      </c>
      <c r="C133" s="109">
        <v>2</v>
      </c>
      <c r="D133" s="127" t="s">
        <v>122</v>
      </c>
      <c r="E133" s="127" t="s">
        <v>123</v>
      </c>
    </row>
    <row r="134" spans="1:5" x14ac:dyDescent="0.25">
      <c r="A134" s="1" t="str">
        <f t="shared" si="2"/>
        <v>sexta-feira</v>
      </c>
      <c r="B134" s="108">
        <v>43476</v>
      </c>
      <c r="C134" s="109">
        <v>2</v>
      </c>
      <c r="D134" s="127">
        <v>3</v>
      </c>
      <c r="E134" s="127">
        <v>1</v>
      </c>
    </row>
    <row r="135" spans="1:5" x14ac:dyDescent="0.25">
      <c r="A135" s="1" t="str">
        <f t="shared" si="2"/>
        <v>sábado</v>
      </c>
      <c r="B135" s="108">
        <v>43477</v>
      </c>
      <c r="C135" s="109">
        <v>2</v>
      </c>
      <c r="D135" s="127">
        <v>3</v>
      </c>
      <c r="E135" s="127">
        <v>1</v>
      </c>
    </row>
    <row r="136" spans="1:5" x14ac:dyDescent="0.25">
      <c r="A136" s="1" t="str">
        <f t="shared" si="2"/>
        <v>domingo</v>
      </c>
      <c r="B136" s="108">
        <v>43478</v>
      </c>
      <c r="C136" s="109">
        <v>2</v>
      </c>
      <c r="D136" s="127">
        <v>3</v>
      </c>
      <c r="E136" s="127">
        <v>1</v>
      </c>
    </row>
    <row r="137" spans="1:5" x14ac:dyDescent="0.25">
      <c r="A137" s="1" t="str">
        <f t="shared" si="2"/>
        <v>segunda-feira</v>
      </c>
      <c r="B137" s="108">
        <v>43479</v>
      </c>
      <c r="C137" s="109">
        <v>2</v>
      </c>
      <c r="D137" s="127">
        <v>3</v>
      </c>
      <c r="E137" s="127">
        <v>1</v>
      </c>
    </row>
    <row r="138" spans="1:5" x14ac:dyDescent="0.25">
      <c r="A138" s="1" t="str">
        <f t="shared" si="2"/>
        <v>terça-feira</v>
      </c>
      <c r="B138" s="108">
        <v>43480</v>
      </c>
      <c r="C138" s="109">
        <v>2</v>
      </c>
      <c r="D138" s="127">
        <v>3</v>
      </c>
      <c r="E138" s="127">
        <v>1</v>
      </c>
    </row>
    <row r="139" spans="1:5" x14ac:dyDescent="0.25">
      <c r="A139" s="1" t="str">
        <f t="shared" si="2"/>
        <v>quarta-feira</v>
      </c>
      <c r="B139" s="108">
        <v>43481</v>
      </c>
      <c r="C139" s="109">
        <v>2</v>
      </c>
      <c r="D139" s="127">
        <v>3</v>
      </c>
      <c r="E139" s="127">
        <v>1</v>
      </c>
    </row>
    <row r="140" spans="1:5" x14ac:dyDescent="0.25">
      <c r="A140" s="1" t="str">
        <f t="shared" si="2"/>
        <v>quinta-feira</v>
      </c>
      <c r="B140" s="108">
        <v>43482</v>
      </c>
      <c r="C140" s="109">
        <v>2</v>
      </c>
      <c r="D140" s="127">
        <v>3</v>
      </c>
      <c r="E140" s="127">
        <v>1</v>
      </c>
    </row>
    <row r="141" spans="1:5" x14ac:dyDescent="0.25">
      <c r="A141" s="1" t="str">
        <f t="shared" si="2"/>
        <v>sexta-feira</v>
      </c>
      <c r="B141" s="108">
        <v>43483</v>
      </c>
      <c r="C141" s="109">
        <v>2</v>
      </c>
      <c r="D141" s="127">
        <v>3</v>
      </c>
      <c r="E141" s="127">
        <v>1</v>
      </c>
    </row>
    <row r="142" spans="1:5" x14ac:dyDescent="0.25">
      <c r="A142" s="1" t="str">
        <f t="shared" si="2"/>
        <v>sábado</v>
      </c>
      <c r="B142" s="108">
        <v>43484</v>
      </c>
      <c r="C142" s="109">
        <v>2</v>
      </c>
      <c r="D142" s="127">
        <v>3</v>
      </c>
      <c r="E142" s="127">
        <v>1</v>
      </c>
    </row>
    <row r="143" spans="1:5" x14ac:dyDescent="0.25">
      <c r="A143" s="1" t="str">
        <f t="shared" si="2"/>
        <v>domingo</v>
      </c>
      <c r="B143" s="108">
        <v>43485</v>
      </c>
      <c r="C143" s="109">
        <v>2</v>
      </c>
      <c r="D143" s="127">
        <v>3</v>
      </c>
      <c r="E143" s="127">
        <v>1</v>
      </c>
    </row>
    <row r="144" spans="1:5" x14ac:dyDescent="0.25">
      <c r="A144" s="1" t="str">
        <f t="shared" si="2"/>
        <v>segunda-feira</v>
      </c>
      <c r="B144" s="108">
        <v>43486</v>
      </c>
      <c r="C144" s="109">
        <v>2</v>
      </c>
      <c r="D144" s="127">
        <v>3</v>
      </c>
      <c r="E144" s="127">
        <v>1</v>
      </c>
    </row>
    <row r="145" spans="1:5" x14ac:dyDescent="0.25">
      <c r="A145" s="1" t="str">
        <f t="shared" si="2"/>
        <v>terça-feira</v>
      </c>
      <c r="B145" s="108">
        <v>43487</v>
      </c>
      <c r="C145" s="109">
        <v>2</v>
      </c>
      <c r="D145" s="127">
        <v>3</v>
      </c>
      <c r="E145" s="127">
        <v>1</v>
      </c>
    </row>
    <row r="146" spans="1:5" x14ac:dyDescent="0.25">
      <c r="A146" s="1" t="str">
        <f t="shared" si="2"/>
        <v>quarta-feira</v>
      </c>
      <c r="B146" s="108">
        <v>43488</v>
      </c>
      <c r="C146" s="109">
        <v>2</v>
      </c>
      <c r="D146" s="127">
        <v>3</v>
      </c>
      <c r="E146" s="127">
        <v>1</v>
      </c>
    </row>
    <row r="147" spans="1:5" x14ac:dyDescent="0.25">
      <c r="A147" s="1" t="str">
        <f t="shared" si="2"/>
        <v>quinta-feira</v>
      </c>
      <c r="B147" s="108">
        <v>43489</v>
      </c>
      <c r="C147" s="109">
        <v>2</v>
      </c>
      <c r="D147" s="127">
        <v>3</v>
      </c>
      <c r="E147" s="127">
        <v>1</v>
      </c>
    </row>
    <row r="148" spans="1:5" x14ac:dyDescent="0.25">
      <c r="A148" s="1" t="str">
        <f t="shared" si="2"/>
        <v>sexta-feira</v>
      </c>
      <c r="B148" s="108">
        <v>43490</v>
      </c>
      <c r="C148" s="109">
        <v>2</v>
      </c>
      <c r="D148" s="127" t="s">
        <v>126</v>
      </c>
      <c r="E148" s="127">
        <v>1</v>
      </c>
    </row>
    <row r="149" spans="1:5" x14ac:dyDescent="0.25">
      <c r="A149" s="1" t="str">
        <f t="shared" si="2"/>
        <v>sábado</v>
      </c>
      <c r="B149" s="108">
        <v>43491</v>
      </c>
      <c r="C149" s="109">
        <v>2</v>
      </c>
    </row>
    <row r="150" spans="1:5" x14ac:dyDescent="0.25">
      <c r="A150" s="1" t="str">
        <f t="shared" si="2"/>
        <v>domingo</v>
      </c>
      <c r="B150" s="108">
        <v>43492</v>
      </c>
      <c r="C150" s="109">
        <v>2</v>
      </c>
    </row>
    <row r="151" spans="1:5" x14ac:dyDescent="0.25">
      <c r="A151" s="1" t="str">
        <f t="shared" si="2"/>
        <v>segunda-feira</v>
      </c>
      <c r="B151" s="108">
        <v>43493</v>
      </c>
      <c r="C151" s="109">
        <v>2</v>
      </c>
    </row>
    <row r="152" spans="1:5" x14ac:dyDescent="0.25">
      <c r="A152" s="1" t="str">
        <f t="shared" si="2"/>
        <v>terça-feira</v>
      </c>
      <c r="B152" s="108">
        <v>43494</v>
      </c>
      <c r="C152" s="109">
        <v>2</v>
      </c>
    </row>
    <row r="153" spans="1:5" x14ac:dyDescent="0.25">
      <c r="A153" s="1" t="str">
        <f t="shared" si="2"/>
        <v>quarta-feira</v>
      </c>
      <c r="B153" s="108">
        <v>43495</v>
      </c>
      <c r="C153" s="109">
        <v>2</v>
      </c>
    </row>
    <row r="154" spans="1:5" x14ac:dyDescent="0.25">
      <c r="A154" s="1" t="str">
        <f t="shared" si="2"/>
        <v>quinta-feira</v>
      </c>
      <c r="B154" s="108">
        <v>43496</v>
      </c>
      <c r="C154" s="109">
        <v>2</v>
      </c>
    </row>
    <row r="155" spans="1:5" x14ac:dyDescent="0.25">
      <c r="A155" s="1" t="str">
        <f t="shared" si="2"/>
        <v>sexta-feira</v>
      </c>
      <c r="B155" s="108">
        <v>43497</v>
      </c>
      <c r="C155" s="109">
        <v>2</v>
      </c>
      <c r="D155" s="127" t="s">
        <v>125</v>
      </c>
      <c r="E155" s="127">
        <v>1</v>
      </c>
    </row>
    <row r="156" spans="1:5" x14ac:dyDescent="0.25">
      <c r="A156" s="1" t="str">
        <f t="shared" si="2"/>
        <v>sábado</v>
      </c>
      <c r="B156" s="108">
        <v>43498</v>
      </c>
      <c r="C156" s="109">
        <v>2</v>
      </c>
      <c r="D156" s="127">
        <v>2</v>
      </c>
      <c r="E156" s="127">
        <v>1</v>
      </c>
    </row>
    <row r="157" spans="1:5" x14ac:dyDescent="0.25">
      <c r="A157" s="1" t="str">
        <f t="shared" si="2"/>
        <v>domingo</v>
      </c>
      <c r="B157" s="108">
        <v>43499</v>
      </c>
      <c r="C157" s="109">
        <v>2</v>
      </c>
      <c r="D157" s="127">
        <v>2</v>
      </c>
      <c r="E157" s="127">
        <v>1</v>
      </c>
    </row>
    <row r="158" spans="1:5" x14ac:dyDescent="0.25">
      <c r="A158" s="1" t="str">
        <f t="shared" si="2"/>
        <v>segunda-feira</v>
      </c>
      <c r="B158" s="108">
        <v>43500</v>
      </c>
      <c r="C158" s="109">
        <v>2</v>
      </c>
      <c r="D158" s="127">
        <v>2</v>
      </c>
      <c r="E158" s="127">
        <v>1</v>
      </c>
    </row>
    <row r="159" spans="1:5" x14ac:dyDescent="0.25">
      <c r="A159" s="1" t="str">
        <f t="shared" si="2"/>
        <v>terça-feira</v>
      </c>
      <c r="B159" s="108">
        <v>43501</v>
      </c>
      <c r="C159" s="109">
        <v>2</v>
      </c>
      <c r="D159" s="127">
        <v>2</v>
      </c>
      <c r="E159" s="127">
        <v>1</v>
      </c>
    </row>
    <row r="160" spans="1:5" x14ac:dyDescent="0.25">
      <c r="A160" s="1" t="str">
        <f t="shared" si="2"/>
        <v>quarta-feira</v>
      </c>
      <c r="B160" s="108">
        <v>43502</v>
      </c>
      <c r="C160" s="109">
        <v>2</v>
      </c>
      <c r="D160" s="127">
        <v>2</v>
      </c>
      <c r="E160" s="127">
        <v>1</v>
      </c>
    </row>
    <row r="161" spans="1:5" x14ac:dyDescent="0.25">
      <c r="A161" s="1" t="str">
        <f t="shared" si="2"/>
        <v>quinta-feira</v>
      </c>
      <c r="B161" s="108">
        <v>43503</v>
      </c>
      <c r="C161" s="109">
        <v>2</v>
      </c>
      <c r="D161" s="127">
        <v>2</v>
      </c>
      <c r="E161" s="127">
        <v>1</v>
      </c>
    </row>
    <row r="162" spans="1:5" x14ac:dyDescent="0.25">
      <c r="A162" s="1" t="str">
        <f t="shared" si="2"/>
        <v>sexta-feira</v>
      </c>
      <c r="B162" s="108">
        <v>43504</v>
      </c>
      <c r="C162" s="109">
        <v>2</v>
      </c>
      <c r="D162" s="127">
        <v>2</v>
      </c>
      <c r="E162" s="127">
        <v>1</v>
      </c>
    </row>
    <row r="163" spans="1:5" x14ac:dyDescent="0.25">
      <c r="A163" s="1" t="str">
        <f t="shared" si="2"/>
        <v>sábado</v>
      </c>
      <c r="B163" s="108">
        <v>43505</v>
      </c>
      <c r="C163" s="109">
        <v>2</v>
      </c>
      <c r="D163" s="127">
        <v>2</v>
      </c>
      <c r="E163" s="127">
        <v>1</v>
      </c>
    </row>
    <row r="164" spans="1:5" x14ac:dyDescent="0.25">
      <c r="A164" s="1" t="str">
        <f t="shared" si="2"/>
        <v>domingo</v>
      </c>
      <c r="B164" s="108">
        <v>43506</v>
      </c>
      <c r="C164" s="109">
        <v>2</v>
      </c>
      <c r="D164" s="127">
        <v>2</v>
      </c>
      <c r="E164" s="127">
        <v>1</v>
      </c>
    </row>
    <row r="165" spans="1:5" x14ac:dyDescent="0.25">
      <c r="A165" s="1" t="str">
        <f t="shared" si="2"/>
        <v>segunda-feira</v>
      </c>
      <c r="B165" s="108">
        <v>43507</v>
      </c>
      <c r="C165" s="109">
        <v>2</v>
      </c>
      <c r="D165" s="127">
        <v>2</v>
      </c>
      <c r="E165" s="127">
        <v>1</v>
      </c>
    </row>
    <row r="166" spans="1:5" x14ac:dyDescent="0.25">
      <c r="A166" s="1" t="str">
        <f t="shared" si="2"/>
        <v>terça-feira</v>
      </c>
      <c r="B166" s="108">
        <v>43508</v>
      </c>
      <c r="C166" s="109">
        <v>2</v>
      </c>
      <c r="D166" s="127">
        <v>2</v>
      </c>
      <c r="E166" s="127">
        <v>1</v>
      </c>
    </row>
    <row r="167" spans="1:5" x14ac:dyDescent="0.25">
      <c r="A167" s="1" t="str">
        <f t="shared" si="2"/>
        <v>quarta-feira</v>
      </c>
      <c r="B167" s="108">
        <v>43509</v>
      </c>
      <c r="C167" s="109">
        <v>2</v>
      </c>
      <c r="D167" s="127">
        <v>2</v>
      </c>
      <c r="E167" s="127">
        <v>1</v>
      </c>
    </row>
    <row r="168" spans="1:5" x14ac:dyDescent="0.25">
      <c r="A168" s="1" t="str">
        <f t="shared" si="2"/>
        <v>quinta-feira</v>
      </c>
      <c r="B168" s="108">
        <v>43510</v>
      </c>
      <c r="C168" s="109">
        <v>2</v>
      </c>
      <c r="D168" s="127">
        <v>2</v>
      </c>
      <c r="E168" s="127">
        <v>1</v>
      </c>
    </row>
    <row r="169" spans="1:5" x14ac:dyDescent="0.25">
      <c r="A169" s="1" t="str">
        <f t="shared" si="2"/>
        <v>sexta-feira</v>
      </c>
      <c r="B169" s="108">
        <v>43511</v>
      </c>
      <c r="C169" s="109">
        <v>2</v>
      </c>
      <c r="D169" s="127">
        <v>2</v>
      </c>
      <c r="E169" s="127">
        <v>1</v>
      </c>
    </row>
    <row r="170" spans="1:5" x14ac:dyDescent="0.25">
      <c r="A170" s="1" t="str">
        <f t="shared" si="2"/>
        <v>sábado</v>
      </c>
      <c r="B170" s="108">
        <v>43512</v>
      </c>
      <c r="C170" s="109">
        <v>2</v>
      </c>
      <c r="D170" s="127">
        <v>2</v>
      </c>
      <c r="E170" s="127">
        <v>1</v>
      </c>
    </row>
    <row r="171" spans="1:5" x14ac:dyDescent="0.25">
      <c r="A171" s="1" t="str">
        <f t="shared" si="2"/>
        <v>domingo</v>
      </c>
      <c r="B171" s="108">
        <v>43513</v>
      </c>
      <c r="C171" s="109">
        <v>2</v>
      </c>
      <c r="D171" s="127">
        <v>2</v>
      </c>
      <c r="E171" s="127">
        <v>1</v>
      </c>
    </row>
    <row r="172" spans="1:5" x14ac:dyDescent="0.25">
      <c r="A172" s="1" t="str">
        <f t="shared" si="2"/>
        <v>segunda-feira</v>
      </c>
      <c r="B172" s="108">
        <v>43514</v>
      </c>
      <c r="C172" s="109">
        <v>2</v>
      </c>
      <c r="D172" s="127">
        <v>2</v>
      </c>
      <c r="E172" s="127">
        <v>1</v>
      </c>
    </row>
    <row r="173" spans="1:5" x14ac:dyDescent="0.25">
      <c r="A173" s="1" t="str">
        <f t="shared" si="2"/>
        <v>terça-feira</v>
      </c>
      <c r="B173" s="108">
        <v>43515</v>
      </c>
      <c r="C173" s="109">
        <v>2</v>
      </c>
      <c r="D173" s="127">
        <v>2</v>
      </c>
      <c r="E173" s="127">
        <v>1</v>
      </c>
    </row>
    <row r="174" spans="1:5" x14ac:dyDescent="0.25">
      <c r="A174" s="1" t="str">
        <f t="shared" si="2"/>
        <v>quarta-feira</v>
      </c>
      <c r="B174" s="108">
        <v>43516</v>
      </c>
      <c r="C174" s="109">
        <v>2</v>
      </c>
      <c r="D174" s="127">
        <v>2</v>
      </c>
      <c r="E174" s="127">
        <v>1</v>
      </c>
    </row>
    <row r="175" spans="1:5" x14ac:dyDescent="0.25">
      <c r="A175" s="1" t="str">
        <f t="shared" si="2"/>
        <v>quinta-feira</v>
      </c>
      <c r="B175" s="108">
        <v>43517</v>
      </c>
      <c r="C175" s="109">
        <v>2</v>
      </c>
      <c r="D175" s="127">
        <v>2</v>
      </c>
      <c r="E175" s="127">
        <v>1</v>
      </c>
    </row>
    <row r="176" spans="1:5" x14ac:dyDescent="0.25">
      <c r="A176" s="1" t="str">
        <f t="shared" si="2"/>
        <v>sexta-feira</v>
      </c>
      <c r="B176" s="108">
        <v>43518</v>
      </c>
      <c r="C176" s="109">
        <v>2</v>
      </c>
      <c r="D176" s="127">
        <v>2</v>
      </c>
      <c r="E176" s="127">
        <v>1</v>
      </c>
    </row>
    <row r="177" spans="1:5" x14ac:dyDescent="0.25">
      <c r="A177" s="1" t="str">
        <f t="shared" si="2"/>
        <v>sábado</v>
      </c>
      <c r="B177" s="108">
        <v>43519</v>
      </c>
      <c r="C177" s="109">
        <v>2</v>
      </c>
      <c r="D177" s="127">
        <v>2</v>
      </c>
      <c r="E177" s="127">
        <v>1</v>
      </c>
    </row>
    <row r="178" spans="1:5" x14ac:dyDescent="0.25">
      <c r="A178" s="1" t="str">
        <f t="shared" si="2"/>
        <v>domingo</v>
      </c>
      <c r="B178" s="108">
        <v>43520</v>
      </c>
      <c r="C178" s="109">
        <v>2</v>
      </c>
      <c r="D178" s="127">
        <v>2</v>
      </c>
      <c r="E178" s="127">
        <v>1</v>
      </c>
    </row>
    <row r="179" spans="1:5" x14ac:dyDescent="0.25">
      <c r="A179" s="1" t="str">
        <f t="shared" si="2"/>
        <v>segunda-feira</v>
      </c>
      <c r="B179" s="108">
        <v>43521</v>
      </c>
      <c r="C179" s="109">
        <v>2</v>
      </c>
      <c r="D179" s="127">
        <v>2</v>
      </c>
      <c r="E179" s="127">
        <v>1</v>
      </c>
    </row>
    <row r="180" spans="1:5" x14ac:dyDescent="0.25">
      <c r="A180" s="1" t="str">
        <f t="shared" si="2"/>
        <v>terça-feira</v>
      </c>
      <c r="B180" s="108">
        <v>43522</v>
      </c>
      <c r="C180" s="109">
        <v>2</v>
      </c>
      <c r="D180" s="127">
        <v>2</v>
      </c>
      <c r="E180" s="127">
        <v>1</v>
      </c>
    </row>
    <row r="181" spans="1:5" x14ac:dyDescent="0.25">
      <c r="A181" s="1" t="str">
        <f t="shared" si="2"/>
        <v>quarta-feira</v>
      </c>
      <c r="B181" s="108">
        <v>43523</v>
      </c>
      <c r="C181" s="109">
        <v>2</v>
      </c>
      <c r="D181" s="127">
        <v>2</v>
      </c>
      <c r="E181" s="127">
        <v>1</v>
      </c>
    </row>
    <row r="182" spans="1:5" x14ac:dyDescent="0.25">
      <c r="A182" s="1" t="str">
        <f t="shared" si="2"/>
        <v>quinta-feira</v>
      </c>
      <c r="B182" s="108">
        <v>43524</v>
      </c>
      <c r="C182" s="109">
        <v>2</v>
      </c>
      <c r="D182" s="127" t="s">
        <v>125</v>
      </c>
      <c r="E182" s="127">
        <v>1</v>
      </c>
    </row>
    <row r="183" spans="1:5" x14ac:dyDescent="0.25">
      <c r="A183" s="1" t="str">
        <f t="shared" si="2"/>
        <v>sexta-feira</v>
      </c>
      <c r="B183" s="108">
        <v>43525</v>
      </c>
      <c r="C183" s="109">
        <v>2</v>
      </c>
    </row>
    <row r="184" spans="1:5" x14ac:dyDescent="0.25">
      <c r="A184" s="1" t="str">
        <f t="shared" si="2"/>
        <v>sábado</v>
      </c>
      <c r="B184" s="108">
        <v>43526</v>
      </c>
      <c r="C184" s="109">
        <v>2</v>
      </c>
    </row>
    <row r="185" spans="1:5" x14ac:dyDescent="0.25">
      <c r="A185" s="1" t="str">
        <f t="shared" si="2"/>
        <v>domingo</v>
      </c>
      <c r="B185" s="108">
        <v>43527</v>
      </c>
      <c r="C185" s="109">
        <v>2</v>
      </c>
    </row>
    <row r="186" spans="1:5" x14ac:dyDescent="0.25">
      <c r="A186" s="1" t="str">
        <f t="shared" si="2"/>
        <v>segunda-feira</v>
      </c>
      <c r="B186" s="108">
        <v>43528</v>
      </c>
      <c r="C186" s="109">
        <v>2</v>
      </c>
    </row>
    <row r="187" spans="1:5" x14ac:dyDescent="0.25">
      <c r="A187" s="1" t="str">
        <f t="shared" si="2"/>
        <v>terça-feira</v>
      </c>
      <c r="B187" s="108">
        <v>43529</v>
      </c>
      <c r="C187" s="109">
        <v>2</v>
      </c>
    </row>
    <row r="188" spans="1:5" x14ac:dyDescent="0.25">
      <c r="A188" s="1" t="str">
        <f t="shared" si="2"/>
        <v>quarta-feira</v>
      </c>
      <c r="B188" s="108">
        <v>43530</v>
      </c>
      <c r="C188" s="109">
        <v>2</v>
      </c>
    </row>
    <row r="189" spans="1:5" x14ac:dyDescent="0.25">
      <c r="A189" s="1" t="str">
        <f t="shared" ref="A189:A252" si="3">TEXT(B189,"dddd")</f>
        <v>quinta-feira</v>
      </c>
      <c r="B189" s="108">
        <v>43531</v>
      </c>
      <c r="C189" s="109">
        <v>2</v>
      </c>
    </row>
    <row r="190" spans="1:5" x14ac:dyDescent="0.25">
      <c r="A190" s="1" t="str">
        <f t="shared" si="3"/>
        <v>sexta-feira</v>
      </c>
      <c r="B190" s="108">
        <v>43532</v>
      </c>
      <c r="C190" s="109">
        <v>2</v>
      </c>
    </row>
    <row r="191" spans="1:5" x14ac:dyDescent="0.25">
      <c r="A191" s="1" t="str">
        <f t="shared" si="3"/>
        <v>sábado</v>
      </c>
      <c r="B191" s="108">
        <v>43533</v>
      </c>
      <c r="C191" s="109">
        <v>2</v>
      </c>
    </row>
    <row r="192" spans="1:5" x14ac:dyDescent="0.25">
      <c r="A192" s="1" t="str">
        <f t="shared" si="3"/>
        <v>domingo</v>
      </c>
      <c r="B192" s="108">
        <v>43534</v>
      </c>
      <c r="C192" s="109">
        <v>2</v>
      </c>
    </row>
    <row r="193" spans="1:3" x14ac:dyDescent="0.25">
      <c r="A193" s="1" t="str">
        <f t="shared" si="3"/>
        <v>segunda-feira</v>
      </c>
      <c r="B193" s="108">
        <v>43535</v>
      </c>
      <c r="C193" s="109">
        <v>2</v>
      </c>
    </row>
    <row r="194" spans="1:3" x14ac:dyDescent="0.25">
      <c r="A194" s="1" t="str">
        <f t="shared" si="3"/>
        <v>terça-feira</v>
      </c>
      <c r="B194" s="108">
        <v>43536</v>
      </c>
      <c r="C194" s="109">
        <v>2</v>
      </c>
    </row>
    <row r="195" spans="1:3" x14ac:dyDescent="0.25">
      <c r="A195" s="1" t="str">
        <f t="shared" si="3"/>
        <v>quarta-feira</v>
      </c>
      <c r="B195" s="108">
        <v>43537</v>
      </c>
      <c r="C195" s="109">
        <v>2</v>
      </c>
    </row>
    <row r="196" spans="1:3" x14ac:dyDescent="0.25">
      <c r="A196" s="1" t="str">
        <f t="shared" si="3"/>
        <v>quinta-feira</v>
      </c>
      <c r="B196" s="108">
        <v>43538</v>
      </c>
      <c r="C196" s="109">
        <v>2</v>
      </c>
    </row>
    <row r="197" spans="1:3" x14ac:dyDescent="0.25">
      <c r="A197" s="1" t="str">
        <f t="shared" si="3"/>
        <v>sexta-feira</v>
      </c>
      <c r="B197" s="108">
        <v>43539</v>
      </c>
      <c r="C197" s="109">
        <v>2</v>
      </c>
    </row>
    <row r="198" spans="1:3" x14ac:dyDescent="0.25">
      <c r="A198" s="1" t="str">
        <f t="shared" si="3"/>
        <v>sábado</v>
      </c>
      <c r="B198" s="108">
        <v>43540</v>
      </c>
      <c r="C198" s="109">
        <v>2</v>
      </c>
    </row>
    <row r="199" spans="1:3" x14ac:dyDescent="0.25">
      <c r="A199" s="1" t="str">
        <f t="shared" si="3"/>
        <v>domingo</v>
      </c>
      <c r="B199" s="108">
        <v>43541</v>
      </c>
      <c r="C199" s="109">
        <v>2</v>
      </c>
    </row>
    <row r="200" spans="1:3" x14ac:dyDescent="0.25">
      <c r="A200" s="1" t="str">
        <f t="shared" si="3"/>
        <v>segunda-feira</v>
      </c>
      <c r="B200" s="108">
        <v>43542</v>
      </c>
      <c r="C200" s="109">
        <v>2</v>
      </c>
    </row>
    <row r="201" spans="1:3" x14ac:dyDescent="0.25">
      <c r="A201" s="1" t="str">
        <f t="shared" si="3"/>
        <v>terça-feira</v>
      </c>
      <c r="B201" s="108">
        <v>43543</v>
      </c>
      <c r="C201" s="109">
        <v>2</v>
      </c>
    </row>
    <row r="202" spans="1:3" x14ac:dyDescent="0.25">
      <c r="A202" s="1" t="str">
        <f t="shared" si="3"/>
        <v>quarta-feira</v>
      </c>
      <c r="B202" s="108">
        <v>43544</v>
      </c>
      <c r="C202" s="109">
        <v>2</v>
      </c>
    </row>
    <row r="203" spans="1:3" x14ac:dyDescent="0.25">
      <c r="A203" s="1" t="str">
        <f t="shared" si="3"/>
        <v>quinta-feira</v>
      </c>
      <c r="B203" s="108">
        <v>43545</v>
      </c>
      <c r="C203" s="109">
        <v>2</v>
      </c>
    </row>
    <row r="204" spans="1:3" x14ac:dyDescent="0.25">
      <c r="A204" s="1" t="str">
        <f t="shared" si="3"/>
        <v>sexta-feira</v>
      </c>
      <c r="B204" s="108">
        <v>43546</v>
      </c>
      <c r="C204" s="109">
        <v>2</v>
      </c>
    </row>
    <row r="205" spans="1:3" x14ac:dyDescent="0.25">
      <c r="A205" s="1" t="str">
        <f t="shared" si="3"/>
        <v>sábado</v>
      </c>
      <c r="B205" s="108">
        <v>43547</v>
      </c>
      <c r="C205" s="109">
        <v>2</v>
      </c>
    </row>
    <row r="206" spans="1:3" x14ac:dyDescent="0.25">
      <c r="A206" s="1" t="str">
        <f t="shared" si="3"/>
        <v>domingo</v>
      </c>
      <c r="B206" s="108">
        <v>43548</v>
      </c>
      <c r="C206" s="109">
        <v>2</v>
      </c>
    </row>
    <row r="207" spans="1:3" x14ac:dyDescent="0.25">
      <c r="A207" s="1" t="str">
        <f t="shared" si="3"/>
        <v>segunda-feira</v>
      </c>
      <c r="B207" s="108">
        <v>43549</v>
      </c>
      <c r="C207" s="109">
        <v>2</v>
      </c>
    </row>
    <row r="208" spans="1:3" x14ac:dyDescent="0.25">
      <c r="A208" s="1" t="str">
        <f t="shared" si="3"/>
        <v>terça-feira</v>
      </c>
      <c r="B208" s="108">
        <v>43550</v>
      </c>
      <c r="C208" s="109">
        <v>2</v>
      </c>
    </row>
    <row r="209" spans="1:3" x14ac:dyDescent="0.25">
      <c r="A209" s="1" t="str">
        <f t="shared" si="3"/>
        <v>quarta-feira</v>
      </c>
      <c r="B209" s="108">
        <v>43551</v>
      </c>
      <c r="C209" s="109">
        <v>2</v>
      </c>
    </row>
    <row r="210" spans="1:3" x14ac:dyDescent="0.25">
      <c r="A210" s="1" t="str">
        <f t="shared" si="3"/>
        <v>quinta-feira</v>
      </c>
      <c r="B210" s="108">
        <v>43552</v>
      </c>
      <c r="C210" s="109">
        <v>2</v>
      </c>
    </row>
    <row r="211" spans="1:3" x14ac:dyDescent="0.25">
      <c r="A211" s="1" t="str">
        <f t="shared" si="3"/>
        <v>sexta-feira</v>
      </c>
      <c r="B211" s="108">
        <v>43553</v>
      </c>
      <c r="C211" s="109">
        <v>2</v>
      </c>
    </row>
    <row r="212" spans="1:3" x14ac:dyDescent="0.25">
      <c r="A212" s="1" t="str">
        <f t="shared" si="3"/>
        <v>sábado</v>
      </c>
      <c r="B212" s="108">
        <v>43554</v>
      </c>
      <c r="C212" s="109">
        <v>2</v>
      </c>
    </row>
    <row r="213" spans="1:3" x14ac:dyDescent="0.25">
      <c r="A213" s="1" t="str">
        <f t="shared" si="3"/>
        <v>domingo</v>
      </c>
      <c r="B213" s="108">
        <v>43555</v>
      </c>
      <c r="C213" s="109">
        <v>2</v>
      </c>
    </row>
    <row r="214" spans="1:3" x14ac:dyDescent="0.25">
      <c r="A214" s="1" t="str">
        <f t="shared" si="3"/>
        <v>segunda-feira</v>
      </c>
      <c r="B214" s="108">
        <v>43556</v>
      </c>
      <c r="C214" s="109">
        <v>2</v>
      </c>
    </row>
    <row r="215" spans="1:3" x14ac:dyDescent="0.25">
      <c r="A215" s="1" t="str">
        <f t="shared" si="3"/>
        <v>terça-feira</v>
      </c>
      <c r="B215" s="108">
        <v>43557</v>
      </c>
      <c r="C215" s="109">
        <v>2</v>
      </c>
    </row>
    <row r="216" spans="1:3" x14ac:dyDescent="0.25">
      <c r="A216" s="1" t="str">
        <f t="shared" si="3"/>
        <v>quarta-feira</v>
      </c>
      <c r="B216" s="108">
        <v>43558</v>
      </c>
      <c r="C216" s="109">
        <v>2</v>
      </c>
    </row>
    <row r="217" spans="1:3" x14ac:dyDescent="0.25">
      <c r="A217" s="1" t="str">
        <f t="shared" si="3"/>
        <v>quinta-feira</v>
      </c>
      <c r="B217" s="108">
        <v>43559</v>
      </c>
      <c r="C217" s="109">
        <v>2</v>
      </c>
    </row>
    <row r="218" spans="1:3" x14ac:dyDescent="0.25">
      <c r="A218" s="1" t="str">
        <f t="shared" si="3"/>
        <v>sexta-feira</v>
      </c>
      <c r="B218" s="108">
        <v>43560</v>
      </c>
      <c r="C218" s="109">
        <v>2</v>
      </c>
    </row>
    <row r="219" spans="1:3" x14ac:dyDescent="0.25">
      <c r="A219" s="1" t="str">
        <f t="shared" si="3"/>
        <v>sábado</v>
      </c>
      <c r="B219" s="108">
        <v>43561</v>
      </c>
      <c r="C219" s="109">
        <v>2</v>
      </c>
    </row>
    <row r="220" spans="1:3" x14ac:dyDescent="0.25">
      <c r="A220" s="1" t="str">
        <f t="shared" si="3"/>
        <v>domingo</v>
      </c>
      <c r="B220" s="108">
        <v>43562</v>
      </c>
      <c r="C220" s="109">
        <v>2</v>
      </c>
    </row>
    <row r="221" spans="1:3" x14ac:dyDescent="0.25">
      <c r="A221" s="1" t="str">
        <f t="shared" si="3"/>
        <v>segunda-feira</v>
      </c>
      <c r="B221" s="108">
        <v>43563</v>
      </c>
      <c r="C221" s="109">
        <v>2</v>
      </c>
    </row>
    <row r="222" spans="1:3" x14ac:dyDescent="0.25">
      <c r="A222" s="1" t="str">
        <f t="shared" si="3"/>
        <v>terça-feira</v>
      </c>
      <c r="B222" s="108">
        <v>43564</v>
      </c>
      <c r="C222" s="109">
        <v>2</v>
      </c>
    </row>
    <row r="223" spans="1:3" x14ac:dyDescent="0.25">
      <c r="A223" s="1" t="str">
        <f t="shared" si="3"/>
        <v>quarta-feira</v>
      </c>
      <c r="B223" s="108">
        <v>43565</v>
      </c>
      <c r="C223" s="109">
        <v>2</v>
      </c>
    </row>
    <row r="224" spans="1:3" x14ac:dyDescent="0.25">
      <c r="A224" s="1" t="str">
        <f t="shared" si="3"/>
        <v>quinta-feira</v>
      </c>
      <c r="B224" s="108">
        <v>43566</v>
      </c>
      <c r="C224" s="109">
        <v>2</v>
      </c>
    </row>
    <row r="225" spans="1:3" x14ac:dyDescent="0.25">
      <c r="A225" s="1" t="str">
        <f t="shared" si="3"/>
        <v>sexta-feira</v>
      </c>
      <c r="B225" s="108">
        <v>43567</v>
      </c>
      <c r="C225" s="109">
        <v>2</v>
      </c>
    </row>
    <row r="226" spans="1:3" x14ac:dyDescent="0.25">
      <c r="A226" s="1" t="str">
        <f t="shared" si="3"/>
        <v>sábado</v>
      </c>
      <c r="B226" s="108">
        <v>43568</v>
      </c>
      <c r="C226" s="109">
        <v>2</v>
      </c>
    </row>
    <row r="227" spans="1:3" x14ac:dyDescent="0.25">
      <c r="A227" s="1" t="str">
        <f t="shared" si="3"/>
        <v>domingo</v>
      </c>
      <c r="B227" s="108">
        <v>43569</v>
      </c>
      <c r="C227" s="109">
        <v>2</v>
      </c>
    </row>
    <row r="228" spans="1:3" x14ac:dyDescent="0.25">
      <c r="A228" s="1" t="str">
        <f t="shared" si="3"/>
        <v>segunda-feira</v>
      </c>
      <c r="B228" s="108">
        <v>43570</v>
      </c>
      <c r="C228" s="109">
        <v>2</v>
      </c>
    </row>
    <row r="229" spans="1:3" x14ac:dyDescent="0.25">
      <c r="A229" s="1" t="str">
        <f t="shared" si="3"/>
        <v>terça-feira</v>
      </c>
      <c r="B229" s="108">
        <v>43571</v>
      </c>
      <c r="C229" s="109">
        <v>2</v>
      </c>
    </row>
    <row r="230" spans="1:3" x14ac:dyDescent="0.25">
      <c r="A230" s="1" t="str">
        <f t="shared" si="3"/>
        <v>quarta-feira</v>
      </c>
      <c r="B230" s="108">
        <v>43572</v>
      </c>
      <c r="C230" s="109">
        <v>2</v>
      </c>
    </row>
    <row r="231" spans="1:3" x14ac:dyDescent="0.25">
      <c r="A231" s="1" t="str">
        <f t="shared" si="3"/>
        <v>quinta-feira</v>
      </c>
      <c r="B231" s="108">
        <v>43573</v>
      </c>
      <c r="C231" s="109">
        <v>2</v>
      </c>
    </row>
    <row r="232" spans="1:3" x14ac:dyDescent="0.25">
      <c r="A232" s="1" t="str">
        <f t="shared" si="3"/>
        <v>sexta-feira</v>
      </c>
      <c r="B232" s="108">
        <v>43574</v>
      </c>
      <c r="C232" s="109">
        <v>2</v>
      </c>
    </row>
    <row r="233" spans="1:3" x14ac:dyDescent="0.25">
      <c r="A233" s="1" t="str">
        <f t="shared" si="3"/>
        <v>sábado</v>
      </c>
      <c r="B233" s="108">
        <v>43575</v>
      </c>
      <c r="C233" s="109">
        <v>2</v>
      </c>
    </row>
    <row r="234" spans="1:3" x14ac:dyDescent="0.25">
      <c r="A234" s="1" t="str">
        <f t="shared" si="3"/>
        <v>domingo</v>
      </c>
      <c r="B234" s="108">
        <v>43576</v>
      </c>
      <c r="C234" s="109">
        <v>2</v>
      </c>
    </row>
    <row r="235" spans="1:3" x14ac:dyDescent="0.25">
      <c r="A235" s="1" t="str">
        <f t="shared" si="3"/>
        <v>segunda-feira</v>
      </c>
      <c r="B235" s="108">
        <v>43577</v>
      </c>
      <c r="C235" s="109">
        <v>2</v>
      </c>
    </row>
    <row r="236" spans="1:3" x14ac:dyDescent="0.25">
      <c r="A236" s="1" t="str">
        <f t="shared" si="3"/>
        <v>terça-feira</v>
      </c>
      <c r="B236" s="108">
        <v>43578</v>
      </c>
      <c r="C236" s="109">
        <v>2</v>
      </c>
    </row>
    <row r="237" spans="1:3" x14ac:dyDescent="0.25">
      <c r="A237" s="1" t="str">
        <f t="shared" si="3"/>
        <v>quarta-feira</v>
      </c>
      <c r="B237" s="108">
        <v>43579</v>
      </c>
      <c r="C237" s="109">
        <v>2</v>
      </c>
    </row>
    <row r="238" spans="1:3" x14ac:dyDescent="0.25">
      <c r="A238" s="1" t="str">
        <f t="shared" si="3"/>
        <v>quinta-feira</v>
      </c>
      <c r="B238" s="108">
        <v>43580</v>
      </c>
      <c r="C238" s="109">
        <v>2</v>
      </c>
    </row>
    <row r="239" spans="1:3" x14ac:dyDescent="0.25">
      <c r="A239" s="1" t="str">
        <f t="shared" si="3"/>
        <v>sexta-feira</v>
      </c>
      <c r="B239" s="108">
        <v>43581</v>
      </c>
      <c r="C239" s="109">
        <v>2</v>
      </c>
    </row>
    <row r="240" spans="1:3" x14ac:dyDescent="0.25">
      <c r="A240" s="1" t="str">
        <f t="shared" si="3"/>
        <v>sábado</v>
      </c>
      <c r="B240" s="108">
        <v>43582</v>
      </c>
      <c r="C240" s="109">
        <v>2</v>
      </c>
    </row>
    <row r="241" spans="1:3" x14ac:dyDescent="0.25">
      <c r="A241" s="1" t="str">
        <f t="shared" si="3"/>
        <v>domingo</v>
      </c>
      <c r="B241" s="108">
        <v>43583</v>
      </c>
      <c r="C241" s="109">
        <v>2</v>
      </c>
    </row>
    <row r="242" spans="1:3" x14ac:dyDescent="0.25">
      <c r="A242" s="1" t="str">
        <f t="shared" si="3"/>
        <v>segunda-feira</v>
      </c>
      <c r="B242" s="108">
        <v>43584</v>
      </c>
      <c r="C242" s="109">
        <v>2</v>
      </c>
    </row>
    <row r="243" spans="1:3" x14ac:dyDescent="0.25">
      <c r="A243" s="1" t="str">
        <f t="shared" si="3"/>
        <v>terça-feira</v>
      </c>
      <c r="B243" s="108">
        <v>43585</v>
      </c>
      <c r="C243" s="109">
        <v>2</v>
      </c>
    </row>
    <row r="244" spans="1:3" x14ac:dyDescent="0.25">
      <c r="A244" s="1" t="str">
        <f t="shared" si="3"/>
        <v>quarta-feira</v>
      </c>
      <c r="B244" s="108">
        <v>43586</v>
      </c>
      <c r="C244" s="109">
        <v>2</v>
      </c>
    </row>
    <row r="245" spans="1:3" x14ac:dyDescent="0.25">
      <c r="A245" s="1" t="str">
        <f t="shared" si="3"/>
        <v>quinta-feira</v>
      </c>
      <c r="B245" s="108">
        <v>43587</v>
      </c>
      <c r="C245" s="109">
        <v>2</v>
      </c>
    </row>
    <row r="246" spans="1:3" x14ac:dyDescent="0.25">
      <c r="A246" s="1" t="str">
        <f t="shared" si="3"/>
        <v>sexta-feira</v>
      </c>
      <c r="B246" s="108">
        <v>43588</v>
      </c>
      <c r="C246" s="109">
        <v>2</v>
      </c>
    </row>
    <row r="247" spans="1:3" x14ac:dyDescent="0.25">
      <c r="A247" s="1" t="str">
        <f t="shared" si="3"/>
        <v>sábado</v>
      </c>
      <c r="B247" s="108">
        <v>43589</v>
      </c>
      <c r="C247" s="109">
        <v>2</v>
      </c>
    </row>
    <row r="248" spans="1:3" x14ac:dyDescent="0.25">
      <c r="A248" s="1" t="str">
        <f t="shared" si="3"/>
        <v>domingo</v>
      </c>
      <c r="B248" s="108">
        <v>43590</v>
      </c>
      <c r="C248" s="109">
        <v>2</v>
      </c>
    </row>
    <row r="249" spans="1:3" x14ac:dyDescent="0.25">
      <c r="A249" s="1" t="str">
        <f t="shared" si="3"/>
        <v>segunda-feira</v>
      </c>
      <c r="B249" s="108">
        <v>43591</v>
      </c>
      <c r="C249" s="109">
        <v>2</v>
      </c>
    </row>
    <row r="250" spans="1:3" x14ac:dyDescent="0.25">
      <c r="A250" s="1" t="str">
        <f t="shared" si="3"/>
        <v>terça-feira</v>
      </c>
      <c r="B250" s="108">
        <v>43592</v>
      </c>
      <c r="C250" s="109">
        <v>2</v>
      </c>
    </row>
    <row r="251" spans="1:3" x14ac:dyDescent="0.25">
      <c r="A251" s="1" t="str">
        <f t="shared" si="3"/>
        <v>quarta-feira</v>
      </c>
      <c r="B251" s="108">
        <v>43593</v>
      </c>
      <c r="C251" s="109">
        <v>2</v>
      </c>
    </row>
    <row r="252" spans="1:3" x14ac:dyDescent="0.25">
      <c r="A252" s="1" t="str">
        <f t="shared" si="3"/>
        <v>quinta-feira</v>
      </c>
      <c r="B252" s="108">
        <v>43594</v>
      </c>
      <c r="C252" s="109">
        <v>2</v>
      </c>
    </row>
    <row r="253" spans="1:3" x14ac:dyDescent="0.25">
      <c r="A253" s="1" t="str">
        <f t="shared" ref="A253:A316" si="4">TEXT(B253,"dddd")</f>
        <v>sexta-feira</v>
      </c>
      <c r="B253" s="108">
        <v>43595</v>
      </c>
      <c r="C253" s="109">
        <v>2</v>
      </c>
    </row>
    <row r="254" spans="1:3" x14ac:dyDescent="0.25">
      <c r="A254" s="1" t="str">
        <f t="shared" si="4"/>
        <v>sábado</v>
      </c>
      <c r="B254" s="108">
        <v>43596</v>
      </c>
      <c r="C254" s="109">
        <v>2</v>
      </c>
    </row>
    <row r="255" spans="1:3" x14ac:dyDescent="0.25">
      <c r="A255" s="1" t="str">
        <f t="shared" si="4"/>
        <v>domingo</v>
      </c>
      <c r="B255" s="108">
        <v>43597</v>
      </c>
      <c r="C255" s="109">
        <v>2</v>
      </c>
    </row>
    <row r="256" spans="1:3" x14ac:dyDescent="0.25">
      <c r="A256" s="1" t="str">
        <f t="shared" si="4"/>
        <v>segunda-feira</v>
      </c>
      <c r="B256" s="108">
        <v>43598</v>
      </c>
      <c r="C256" s="109">
        <v>2</v>
      </c>
    </row>
    <row r="257" spans="1:3" x14ac:dyDescent="0.25">
      <c r="A257" s="1" t="str">
        <f t="shared" si="4"/>
        <v>terça-feira</v>
      </c>
      <c r="B257" s="108">
        <v>43599</v>
      </c>
      <c r="C257" s="109">
        <v>2</v>
      </c>
    </row>
    <row r="258" spans="1:3" x14ac:dyDescent="0.25">
      <c r="A258" s="1" t="str">
        <f t="shared" si="4"/>
        <v>quarta-feira</v>
      </c>
      <c r="B258" s="108">
        <v>43600</v>
      </c>
      <c r="C258" s="109">
        <v>2</v>
      </c>
    </row>
    <row r="259" spans="1:3" x14ac:dyDescent="0.25">
      <c r="A259" s="1" t="str">
        <f t="shared" si="4"/>
        <v>quinta-feira</v>
      </c>
      <c r="B259" s="108">
        <v>43601</v>
      </c>
      <c r="C259" s="109">
        <v>2</v>
      </c>
    </row>
    <row r="260" spans="1:3" x14ac:dyDescent="0.25">
      <c r="A260" s="1" t="str">
        <f t="shared" si="4"/>
        <v>sexta-feira</v>
      </c>
      <c r="B260" s="108">
        <v>43602</v>
      </c>
      <c r="C260" s="109">
        <v>2</v>
      </c>
    </row>
    <row r="261" spans="1:3" x14ac:dyDescent="0.25">
      <c r="A261" s="1" t="str">
        <f t="shared" si="4"/>
        <v>sábado</v>
      </c>
      <c r="B261" s="108">
        <v>43603</v>
      </c>
      <c r="C261" s="109">
        <v>2</v>
      </c>
    </row>
    <row r="262" spans="1:3" x14ac:dyDescent="0.25">
      <c r="A262" s="1" t="str">
        <f t="shared" si="4"/>
        <v>domingo</v>
      </c>
      <c r="B262" s="108">
        <v>43604</v>
      </c>
      <c r="C262" s="109">
        <v>2</v>
      </c>
    </row>
    <row r="263" spans="1:3" x14ac:dyDescent="0.25">
      <c r="A263" s="1" t="str">
        <f t="shared" si="4"/>
        <v>segunda-feira</v>
      </c>
      <c r="B263" s="108">
        <v>43605</v>
      </c>
      <c r="C263" s="109">
        <v>2</v>
      </c>
    </row>
    <row r="264" spans="1:3" x14ac:dyDescent="0.25">
      <c r="A264" s="1" t="str">
        <f t="shared" si="4"/>
        <v>terça-feira</v>
      </c>
      <c r="B264" s="108">
        <v>43606</v>
      </c>
      <c r="C264" s="109">
        <v>2</v>
      </c>
    </row>
    <row r="265" spans="1:3" x14ac:dyDescent="0.25">
      <c r="A265" s="1" t="str">
        <f t="shared" si="4"/>
        <v>quarta-feira</v>
      </c>
      <c r="B265" s="108">
        <v>43607</v>
      </c>
      <c r="C265" s="109">
        <v>2</v>
      </c>
    </row>
    <row r="266" spans="1:3" x14ac:dyDescent="0.25">
      <c r="A266" s="1" t="str">
        <f t="shared" si="4"/>
        <v>quinta-feira</v>
      </c>
      <c r="B266" s="108">
        <v>43608</v>
      </c>
      <c r="C266" s="109">
        <v>2</v>
      </c>
    </row>
    <row r="267" spans="1:3" x14ac:dyDescent="0.25">
      <c r="A267" s="1" t="str">
        <f t="shared" si="4"/>
        <v>sexta-feira</v>
      </c>
      <c r="B267" s="108">
        <v>43609</v>
      </c>
      <c r="C267" s="109">
        <v>2</v>
      </c>
    </row>
    <row r="268" spans="1:3" x14ac:dyDescent="0.25">
      <c r="A268" s="1" t="str">
        <f t="shared" si="4"/>
        <v>sábado</v>
      </c>
      <c r="B268" s="108">
        <v>43610</v>
      </c>
      <c r="C268" s="109">
        <v>2</v>
      </c>
    </row>
    <row r="269" spans="1:3" x14ac:dyDescent="0.25">
      <c r="A269" s="1" t="str">
        <f t="shared" si="4"/>
        <v>domingo</v>
      </c>
      <c r="B269" s="108">
        <v>43611</v>
      </c>
      <c r="C269" s="109">
        <v>2</v>
      </c>
    </row>
    <row r="270" spans="1:3" x14ac:dyDescent="0.25">
      <c r="A270" s="1" t="str">
        <f t="shared" si="4"/>
        <v>segunda-feira</v>
      </c>
      <c r="B270" s="108">
        <v>43612</v>
      </c>
      <c r="C270" s="109">
        <v>2</v>
      </c>
    </row>
    <row r="271" spans="1:3" x14ac:dyDescent="0.25">
      <c r="A271" s="1" t="str">
        <f t="shared" si="4"/>
        <v>terça-feira</v>
      </c>
      <c r="B271" s="108">
        <v>43613</v>
      </c>
      <c r="C271" s="109">
        <v>2</v>
      </c>
    </row>
    <row r="272" spans="1:3" x14ac:dyDescent="0.25">
      <c r="A272" s="1" t="str">
        <f t="shared" si="4"/>
        <v>quarta-feira</v>
      </c>
      <c r="B272" s="108">
        <v>43614</v>
      </c>
      <c r="C272" s="109">
        <v>2</v>
      </c>
    </row>
    <row r="273" spans="1:3" x14ac:dyDescent="0.25">
      <c r="A273" s="1" t="str">
        <f t="shared" si="4"/>
        <v>quinta-feira</v>
      </c>
      <c r="B273" s="108">
        <v>43615</v>
      </c>
      <c r="C273" s="109">
        <v>2</v>
      </c>
    </row>
    <row r="274" spans="1:3" x14ac:dyDescent="0.25">
      <c r="A274" s="1" t="str">
        <f t="shared" si="4"/>
        <v>sexta-feira</v>
      </c>
      <c r="B274" s="108">
        <v>43616</v>
      </c>
      <c r="C274" s="109">
        <v>2</v>
      </c>
    </row>
    <row r="275" spans="1:3" x14ac:dyDescent="0.25">
      <c r="A275" s="1" t="str">
        <f t="shared" si="4"/>
        <v>sábado</v>
      </c>
      <c r="B275" s="108">
        <v>43617</v>
      </c>
      <c r="C275" s="109">
        <v>2</v>
      </c>
    </row>
    <row r="276" spans="1:3" x14ac:dyDescent="0.25">
      <c r="A276" s="1" t="str">
        <f t="shared" si="4"/>
        <v>domingo</v>
      </c>
      <c r="B276" s="108">
        <v>43618</v>
      </c>
      <c r="C276" s="109">
        <v>2</v>
      </c>
    </row>
    <row r="277" spans="1:3" x14ac:dyDescent="0.25">
      <c r="A277" s="1" t="str">
        <f t="shared" si="4"/>
        <v>segunda-feira</v>
      </c>
      <c r="B277" s="108">
        <v>43619</v>
      </c>
      <c r="C277" s="109">
        <v>2</v>
      </c>
    </row>
    <row r="278" spans="1:3" x14ac:dyDescent="0.25">
      <c r="A278" s="1" t="str">
        <f t="shared" si="4"/>
        <v>terça-feira</v>
      </c>
      <c r="B278" s="108">
        <v>43620</v>
      </c>
      <c r="C278" s="109">
        <v>2</v>
      </c>
    </row>
    <row r="279" spans="1:3" x14ac:dyDescent="0.25">
      <c r="A279" s="1" t="str">
        <f t="shared" si="4"/>
        <v>quarta-feira</v>
      </c>
      <c r="B279" s="108">
        <v>43621</v>
      </c>
      <c r="C279" s="109">
        <v>2</v>
      </c>
    </row>
    <row r="280" spans="1:3" x14ac:dyDescent="0.25">
      <c r="A280" s="1" t="str">
        <f t="shared" si="4"/>
        <v>quinta-feira</v>
      </c>
      <c r="B280" s="108">
        <v>43622</v>
      </c>
      <c r="C280" s="109">
        <v>2</v>
      </c>
    </row>
    <row r="281" spans="1:3" x14ac:dyDescent="0.25">
      <c r="A281" s="1" t="str">
        <f t="shared" si="4"/>
        <v>sexta-feira</v>
      </c>
      <c r="B281" s="108">
        <v>43623</v>
      </c>
      <c r="C281" s="109">
        <v>2</v>
      </c>
    </row>
    <row r="282" spans="1:3" x14ac:dyDescent="0.25">
      <c r="A282" s="1" t="str">
        <f t="shared" si="4"/>
        <v>sábado</v>
      </c>
      <c r="B282" s="108">
        <v>43624</v>
      </c>
      <c r="C282" s="109">
        <v>2</v>
      </c>
    </row>
    <row r="283" spans="1:3" x14ac:dyDescent="0.25">
      <c r="A283" s="1" t="str">
        <f t="shared" si="4"/>
        <v>domingo</v>
      </c>
      <c r="B283" s="108">
        <v>43625</v>
      </c>
      <c r="C283" s="109">
        <v>2</v>
      </c>
    </row>
    <row r="284" spans="1:3" x14ac:dyDescent="0.25">
      <c r="A284" s="1" t="str">
        <f t="shared" si="4"/>
        <v>segunda-feira</v>
      </c>
      <c r="B284" s="108">
        <v>43626</v>
      </c>
      <c r="C284" s="109">
        <v>2</v>
      </c>
    </row>
    <row r="285" spans="1:3" x14ac:dyDescent="0.25">
      <c r="A285" s="1" t="str">
        <f t="shared" si="4"/>
        <v>terça-feira</v>
      </c>
      <c r="B285" s="108">
        <v>43627</v>
      </c>
      <c r="C285" s="109">
        <v>2</v>
      </c>
    </row>
    <row r="286" spans="1:3" x14ac:dyDescent="0.25">
      <c r="A286" s="1" t="str">
        <f t="shared" si="4"/>
        <v>quarta-feira</v>
      </c>
      <c r="B286" s="108">
        <v>43628</v>
      </c>
      <c r="C286" s="109">
        <v>2</v>
      </c>
    </row>
    <row r="287" spans="1:3" x14ac:dyDescent="0.25">
      <c r="A287" s="1" t="str">
        <f t="shared" si="4"/>
        <v>quinta-feira</v>
      </c>
      <c r="B287" s="108">
        <v>43629</v>
      </c>
      <c r="C287" s="109">
        <v>2</v>
      </c>
    </row>
    <row r="288" spans="1:3" x14ac:dyDescent="0.25">
      <c r="A288" s="1" t="str">
        <f t="shared" si="4"/>
        <v>sexta-feira</v>
      </c>
      <c r="B288" s="108">
        <v>43630</v>
      </c>
      <c r="C288" s="109">
        <v>2</v>
      </c>
    </row>
    <row r="289" spans="1:3" x14ac:dyDescent="0.25">
      <c r="A289" s="1" t="str">
        <f t="shared" si="4"/>
        <v>sábado</v>
      </c>
      <c r="B289" s="108">
        <v>43631</v>
      </c>
      <c r="C289" s="109">
        <v>2</v>
      </c>
    </row>
    <row r="290" spans="1:3" x14ac:dyDescent="0.25">
      <c r="A290" s="1" t="str">
        <f t="shared" si="4"/>
        <v>domingo</v>
      </c>
      <c r="B290" s="108">
        <v>43632</v>
      </c>
      <c r="C290" s="109">
        <v>2</v>
      </c>
    </row>
    <row r="291" spans="1:3" x14ac:dyDescent="0.25">
      <c r="A291" s="1" t="str">
        <f t="shared" si="4"/>
        <v>segunda-feira</v>
      </c>
      <c r="B291" s="108">
        <v>43633</v>
      </c>
      <c r="C291" s="109">
        <v>2</v>
      </c>
    </row>
    <row r="292" spans="1:3" x14ac:dyDescent="0.25">
      <c r="A292" s="1" t="str">
        <f t="shared" si="4"/>
        <v>terça-feira</v>
      </c>
      <c r="B292" s="108">
        <v>43634</v>
      </c>
      <c r="C292" s="109">
        <v>2</v>
      </c>
    </row>
    <row r="293" spans="1:3" x14ac:dyDescent="0.25">
      <c r="A293" s="1" t="str">
        <f t="shared" si="4"/>
        <v>quarta-feira</v>
      </c>
      <c r="B293" s="108">
        <v>43635</v>
      </c>
      <c r="C293" s="109">
        <v>2</v>
      </c>
    </row>
    <row r="294" spans="1:3" x14ac:dyDescent="0.25">
      <c r="A294" s="1" t="str">
        <f t="shared" si="4"/>
        <v>quinta-feira</v>
      </c>
      <c r="B294" s="108">
        <v>43636</v>
      </c>
      <c r="C294" s="109">
        <v>2</v>
      </c>
    </row>
    <row r="295" spans="1:3" x14ac:dyDescent="0.25">
      <c r="A295" s="1" t="str">
        <f t="shared" si="4"/>
        <v>sexta-feira</v>
      </c>
      <c r="B295" s="108">
        <v>43637</v>
      </c>
      <c r="C295" s="109">
        <v>2</v>
      </c>
    </row>
    <row r="296" spans="1:3" x14ac:dyDescent="0.25">
      <c r="A296" s="1" t="str">
        <f t="shared" si="4"/>
        <v>sábado</v>
      </c>
      <c r="B296" s="108">
        <v>43638</v>
      </c>
      <c r="C296" s="109">
        <v>2</v>
      </c>
    </row>
    <row r="297" spans="1:3" x14ac:dyDescent="0.25">
      <c r="A297" s="1" t="str">
        <f t="shared" si="4"/>
        <v>domingo</v>
      </c>
      <c r="B297" s="108">
        <v>43639</v>
      </c>
      <c r="C297" s="109">
        <v>2</v>
      </c>
    </row>
    <row r="298" spans="1:3" x14ac:dyDescent="0.25">
      <c r="A298" s="1" t="str">
        <f t="shared" si="4"/>
        <v>segunda-feira</v>
      </c>
      <c r="B298" s="108">
        <v>43640</v>
      </c>
      <c r="C298" s="109">
        <v>2</v>
      </c>
    </row>
    <row r="299" spans="1:3" x14ac:dyDescent="0.25">
      <c r="A299" s="1" t="str">
        <f t="shared" si="4"/>
        <v>terça-feira</v>
      </c>
      <c r="B299" s="108">
        <v>43641</v>
      </c>
      <c r="C299" s="109">
        <v>2</v>
      </c>
    </row>
    <row r="300" spans="1:3" x14ac:dyDescent="0.25">
      <c r="A300" s="1" t="str">
        <f t="shared" si="4"/>
        <v>quarta-feira</v>
      </c>
      <c r="B300" s="108">
        <v>43642</v>
      </c>
      <c r="C300" s="109">
        <v>2</v>
      </c>
    </row>
    <row r="301" spans="1:3" x14ac:dyDescent="0.25">
      <c r="A301" s="1" t="str">
        <f t="shared" si="4"/>
        <v>quinta-feira</v>
      </c>
      <c r="B301" s="108">
        <v>43643</v>
      </c>
      <c r="C301" s="109">
        <v>2</v>
      </c>
    </row>
    <row r="302" spans="1:3" x14ac:dyDescent="0.25">
      <c r="A302" s="1" t="str">
        <f t="shared" si="4"/>
        <v>sexta-feira</v>
      </c>
      <c r="B302" s="108">
        <v>43644</v>
      </c>
      <c r="C302" s="109">
        <v>2</v>
      </c>
    </row>
    <row r="303" spans="1:3" x14ac:dyDescent="0.25">
      <c r="A303" s="1" t="str">
        <f t="shared" si="4"/>
        <v>sábado</v>
      </c>
      <c r="B303" s="108">
        <v>43645</v>
      </c>
      <c r="C303" s="109">
        <v>2</v>
      </c>
    </row>
    <row r="304" spans="1:3" x14ac:dyDescent="0.25">
      <c r="A304" s="1" t="str">
        <f t="shared" si="4"/>
        <v>domingo</v>
      </c>
      <c r="B304" s="108">
        <v>43646</v>
      </c>
      <c r="C304" s="109">
        <v>2</v>
      </c>
    </row>
    <row r="305" spans="1:3" x14ac:dyDescent="0.25">
      <c r="A305" s="1" t="str">
        <f t="shared" si="4"/>
        <v>segunda-feira</v>
      </c>
      <c r="B305" s="108">
        <v>43647</v>
      </c>
      <c r="C305" s="109">
        <v>2</v>
      </c>
    </row>
    <row r="306" spans="1:3" x14ac:dyDescent="0.25">
      <c r="A306" s="1" t="str">
        <f t="shared" si="4"/>
        <v>terça-feira</v>
      </c>
      <c r="B306" s="108">
        <v>43648</v>
      </c>
      <c r="C306" s="109">
        <v>2</v>
      </c>
    </row>
    <row r="307" spans="1:3" x14ac:dyDescent="0.25">
      <c r="A307" s="1" t="str">
        <f t="shared" si="4"/>
        <v>quarta-feira</v>
      </c>
      <c r="B307" s="108">
        <v>43649</v>
      </c>
      <c r="C307" s="109">
        <v>2</v>
      </c>
    </row>
    <row r="308" spans="1:3" x14ac:dyDescent="0.25">
      <c r="A308" s="1" t="str">
        <f t="shared" si="4"/>
        <v>quinta-feira</v>
      </c>
      <c r="B308" s="108">
        <v>43650</v>
      </c>
      <c r="C308" s="109">
        <v>2</v>
      </c>
    </row>
    <row r="309" spans="1:3" x14ac:dyDescent="0.25">
      <c r="A309" s="1" t="str">
        <f t="shared" si="4"/>
        <v>sexta-feira</v>
      </c>
      <c r="B309" s="108">
        <v>43651</v>
      </c>
      <c r="C309" s="109">
        <v>2</v>
      </c>
    </row>
    <row r="310" spans="1:3" x14ac:dyDescent="0.25">
      <c r="A310" s="1" t="str">
        <f t="shared" si="4"/>
        <v>sábado</v>
      </c>
      <c r="B310" s="108">
        <v>43652</v>
      </c>
      <c r="C310" s="109">
        <v>2</v>
      </c>
    </row>
    <row r="311" spans="1:3" x14ac:dyDescent="0.25">
      <c r="A311" s="1" t="str">
        <f t="shared" si="4"/>
        <v>domingo</v>
      </c>
      <c r="B311" s="108">
        <v>43653</v>
      </c>
      <c r="C311" s="109">
        <v>2</v>
      </c>
    </row>
    <row r="312" spans="1:3" x14ac:dyDescent="0.25">
      <c r="A312" s="1" t="str">
        <f t="shared" si="4"/>
        <v>segunda-feira</v>
      </c>
      <c r="B312" s="108">
        <v>43654</v>
      </c>
      <c r="C312" s="109">
        <v>2</v>
      </c>
    </row>
    <row r="313" spans="1:3" x14ac:dyDescent="0.25">
      <c r="A313" s="1" t="str">
        <f t="shared" si="4"/>
        <v>terça-feira</v>
      </c>
      <c r="B313" s="108">
        <v>43655</v>
      </c>
      <c r="C313" s="109">
        <v>2</v>
      </c>
    </row>
    <row r="314" spans="1:3" x14ac:dyDescent="0.25">
      <c r="A314" s="1" t="str">
        <f t="shared" si="4"/>
        <v>quarta-feira</v>
      </c>
      <c r="B314" s="108">
        <v>43656</v>
      </c>
      <c r="C314" s="109">
        <v>2</v>
      </c>
    </row>
    <row r="315" spans="1:3" x14ac:dyDescent="0.25">
      <c r="A315" s="1" t="str">
        <f t="shared" si="4"/>
        <v>quinta-feira</v>
      </c>
      <c r="B315" s="108">
        <v>43657</v>
      </c>
      <c r="C315" s="109">
        <v>2</v>
      </c>
    </row>
    <row r="316" spans="1:3" x14ac:dyDescent="0.25">
      <c r="A316" s="1" t="str">
        <f t="shared" si="4"/>
        <v>sexta-feira</v>
      </c>
      <c r="B316" s="108">
        <v>43658</v>
      </c>
      <c r="C316" s="109">
        <v>2</v>
      </c>
    </row>
    <row r="317" spans="1:3" x14ac:dyDescent="0.25">
      <c r="A317" s="1" t="str">
        <f t="shared" ref="A317:A380" si="5">TEXT(B317,"dddd")</f>
        <v>sábado</v>
      </c>
      <c r="B317" s="108">
        <v>43659</v>
      </c>
      <c r="C317" s="109">
        <v>2</v>
      </c>
    </row>
    <row r="318" spans="1:3" x14ac:dyDescent="0.25">
      <c r="A318" s="1" t="str">
        <f t="shared" si="5"/>
        <v>domingo</v>
      </c>
      <c r="B318" s="108">
        <v>43660</v>
      </c>
      <c r="C318" s="109">
        <v>2</v>
      </c>
    </row>
    <row r="319" spans="1:3" x14ac:dyDescent="0.25">
      <c r="A319" s="1" t="str">
        <f t="shared" si="5"/>
        <v>segunda-feira</v>
      </c>
      <c r="B319" s="108">
        <v>43661</v>
      </c>
      <c r="C319" s="109">
        <v>2</v>
      </c>
    </row>
    <row r="320" spans="1:3" x14ac:dyDescent="0.25">
      <c r="A320" s="1" t="str">
        <f t="shared" si="5"/>
        <v>terça-feira</v>
      </c>
      <c r="B320" s="108">
        <v>43662</v>
      </c>
      <c r="C320" s="109">
        <v>2</v>
      </c>
    </row>
    <row r="321" spans="1:3" x14ac:dyDescent="0.25">
      <c r="A321" s="1" t="str">
        <f t="shared" si="5"/>
        <v>quarta-feira</v>
      </c>
      <c r="B321" s="108">
        <v>43663</v>
      </c>
      <c r="C321" s="109">
        <v>2</v>
      </c>
    </row>
    <row r="322" spans="1:3" x14ac:dyDescent="0.25">
      <c r="A322" s="1" t="str">
        <f t="shared" si="5"/>
        <v>quinta-feira</v>
      </c>
      <c r="B322" s="108">
        <v>43664</v>
      </c>
      <c r="C322" s="109">
        <v>2</v>
      </c>
    </row>
    <row r="323" spans="1:3" x14ac:dyDescent="0.25">
      <c r="A323" s="1" t="str">
        <f t="shared" si="5"/>
        <v>sexta-feira</v>
      </c>
      <c r="B323" s="108">
        <v>43665</v>
      </c>
      <c r="C323" s="109">
        <v>2</v>
      </c>
    </row>
    <row r="324" spans="1:3" x14ac:dyDescent="0.25">
      <c r="A324" s="1" t="str">
        <f t="shared" si="5"/>
        <v>sábado</v>
      </c>
      <c r="B324" s="108">
        <v>43666</v>
      </c>
      <c r="C324" s="109">
        <v>2</v>
      </c>
    </row>
    <row r="325" spans="1:3" x14ac:dyDescent="0.25">
      <c r="A325" s="1" t="str">
        <f t="shared" si="5"/>
        <v>domingo</v>
      </c>
      <c r="B325" s="108">
        <v>43667</v>
      </c>
      <c r="C325" s="109">
        <v>2</v>
      </c>
    </row>
    <row r="326" spans="1:3" x14ac:dyDescent="0.25">
      <c r="A326" s="1" t="str">
        <f t="shared" si="5"/>
        <v>segunda-feira</v>
      </c>
      <c r="B326" s="108">
        <v>43668</v>
      </c>
      <c r="C326" s="109">
        <v>2</v>
      </c>
    </row>
    <row r="327" spans="1:3" x14ac:dyDescent="0.25">
      <c r="A327" s="1" t="str">
        <f t="shared" si="5"/>
        <v>terça-feira</v>
      </c>
      <c r="B327" s="108">
        <v>43669</v>
      </c>
      <c r="C327" s="109">
        <v>2</v>
      </c>
    </row>
    <row r="328" spans="1:3" x14ac:dyDescent="0.25">
      <c r="A328" s="1" t="str">
        <f t="shared" si="5"/>
        <v>quarta-feira</v>
      </c>
      <c r="B328" s="108">
        <v>43670</v>
      </c>
      <c r="C328" s="109">
        <v>2</v>
      </c>
    </row>
    <row r="329" spans="1:3" x14ac:dyDescent="0.25">
      <c r="A329" s="1" t="str">
        <f t="shared" si="5"/>
        <v>quinta-feira</v>
      </c>
      <c r="B329" s="108">
        <v>43671</v>
      </c>
      <c r="C329" s="109">
        <v>2</v>
      </c>
    </row>
    <row r="330" spans="1:3" x14ac:dyDescent="0.25">
      <c r="A330" s="1" t="str">
        <f t="shared" si="5"/>
        <v>sexta-feira</v>
      </c>
      <c r="B330" s="108">
        <v>43672</v>
      </c>
      <c r="C330" s="109">
        <v>2</v>
      </c>
    </row>
    <row r="331" spans="1:3" x14ac:dyDescent="0.25">
      <c r="A331" s="1" t="str">
        <f t="shared" si="5"/>
        <v>sábado</v>
      </c>
      <c r="B331" s="108">
        <v>43673</v>
      </c>
      <c r="C331" s="109">
        <v>2</v>
      </c>
    </row>
    <row r="332" spans="1:3" x14ac:dyDescent="0.25">
      <c r="A332" s="1" t="str">
        <f t="shared" si="5"/>
        <v>domingo</v>
      </c>
      <c r="B332" s="108">
        <v>43674</v>
      </c>
      <c r="C332" s="109">
        <v>2</v>
      </c>
    </row>
    <row r="333" spans="1:3" x14ac:dyDescent="0.25">
      <c r="A333" s="1" t="str">
        <f t="shared" si="5"/>
        <v>segunda-feira</v>
      </c>
      <c r="B333" s="108">
        <v>43675</v>
      </c>
      <c r="C333" s="109">
        <v>2</v>
      </c>
    </row>
    <row r="334" spans="1:3" x14ac:dyDescent="0.25">
      <c r="A334" s="1" t="str">
        <f t="shared" si="5"/>
        <v>terça-feira</v>
      </c>
      <c r="B334" s="108">
        <v>43676</v>
      </c>
      <c r="C334" s="109">
        <v>2</v>
      </c>
    </row>
    <row r="335" spans="1:3" x14ac:dyDescent="0.25">
      <c r="A335" s="1" t="str">
        <f t="shared" si="5"/>
        <v>quarta-feira</v>
      </c>
      <c r="B335" s="108">
        <v>43677</v>
      </c>
      <c r="C335" s="109">
        <v>2</v>
      </c>
    </row>
    <row r="336" spans="1:3" x14ac:dyDescent="0.25">
      <c r="A336" s="1" t="str">
        <f t="shared" si="5"/>
        <v>quinta-feira</v>
      </c>
      <c r="B336" s="108">
        <v>43678</v>
      </c>
      <c r="C336" s="109">
        <v>2</v>
      </c>
    </row>
    <row r="337" spans="1:3" x14ac:dyDescent="0.25">
      <c r="A337" s="1" t="str">
        <f t="shared" si="5"/>
        <v>sexta-feira</v>
      </c>
      <c r="B337" s="108">
        <v>43679</v>
      </c>
      <c r="C337" s="109">
        <v>2</v>
      </c>
    </row>
    <row r="338" spans="1:3" x14ac:dyDescent="0.25">
      <c r="A338" s="1" t="str">
        <f t="shared" si="5"/>
        <v>sábado</v>
      </c>
      <c r="B338" s="108">
        <v>43680</v>
      </c>
      <c r="C338" s="109">
        <v>2</v>
      </c>
    </row>
    <row r="339" spans="1:3" x14ac:dyDescent="0.25">
      <c r="A339" s="1" t="str">
        <f t="shared" si="5"/>
        <v>domingo</v>
      </c>
      <c r="B339" s="108">
        <v>43681</v>
      </c>
      <c r="C339" s="109">
        <v>2</v>
      </c>
    </row>
    <row r="340" spans="1:3" x14ac:dyDescent="0.25">
      <c r="A340" s="1" t="str">
        <f t="shared" si="5"/>
        <v>segunda-feira</v>
      </c>
      <c r="B340" s="108">
        <v>43682</v>
      </c>
      <c r="C340" s="109">
        <v>2</v>
      </c>
    </row>
    <row r="341" spans="1:3" x14ac:dyDescent="0.25">
      <c r="A341" s="1" t="str">
        <f t="shared" si="5"/>
        <v>terça-feira</v>
      </c>
      <c r="B341" s="108">
        <v>43683</v>
      </c>
      <c r="C341" s="109">
        <v>2</v>
      </c>
    </row>
    <row r="342" spans="1:3" x14ac:dyDescent="0.25">
      <c r="A342" s="1" t="str">
        <f t="shared" si="5"/>
        <v>quarta-feira</v>
      </c>
      <c r="B342" s="108">
        <v>43684</v>
      </c>
      <c r="C342" s="109">
        <v>2</v>
      </c>
    </row>
    <row r="343" spans="1:3" x14ac:dyDescent="0.25">
      <c r="A343" s="1" t="str">
        <f t="shared" si="5"/>
        <v>quinta-feira</v>
      </c>
      <c r="B343" s="108">
        <v>43685</v>
      </c>
      <c r="C343" s="109">
        <v>2</v>
      </c>
    </row>
    <row r="344" spans="1:3" x14ac:dyDescent="0.25">
      <c r="A344" s="1" t="str">
        <f t="shared" si="5"/>
        <v>sexta-feira</v>
      </c>
      <c r="B344" s="108">
        <v>43686</v>
      </c>
      <c r="C344" s="109">
        <v>2</v>
      </c>
    </row>
    <row r="345" spans="1:3" x14ac:dyDescent="0.25">
      <c r="A345" s="1" t="str">
        <f t="shared" si="5"/>
        <v>sábado</v>
      </c>
      <c r="B345" s="108">
        <v>43687</v>
      </c>
      <c r="C345" s="109">
        <v>2</v>
      </c>
    </row>
    <row r="346" spans="1:3" x14ac:dyDescent="0.25">
      <c r="A346" s="1" t="str">
        <f t="shared" si="5"/>
        <v>domingo</v>
      </c>
      <c r="B346" s="108">
        <v>43688</v>
      </c>
      <c r="C346" s="109">
        <v>2</v>
      </c>
    </row>
    <row r="347" spans="1:3" x14ac:dyDescent="0.25">
      <c r="A347" s="1" t="str">
        <f t="shared" si="5"/>
        <v>segunda-feira</v>
      </c>
      <c r="B347" s="108">
        <v>43689</v>
      </c>
      <c r="C347" s="109">
        <v>2</v>
      </c>
    </row>
    <row r="348" spans="1:3" x14ac:dyDescent="0.25">
      <c r="A348" s="1" t="str">
        <f t="shared" si="5"/>
        <v>terça-feira</v>
      </c>
      <c r="B348" s="108">
        <v>43690</v>
      </c>
      <c r="C348" s="109">
        <v>2</v>
      </c>
    </row>
    <row r="349" spans="1:3" x14ac:dyDescent="0.25">
      <c r="A349" s="1" t="str">
        <f t="shared" si="5"/>
        <v>quarta-feira</v>
      </c>
      <c r="B349" s="108">
        <v>43691</v>
      </c>
      <c r="C349" s="109">
        <v>2</v>
      </c>
    </row>
    <row r="350" spans="1:3" x14ac:dyDescent="0.25">
      <c r="A350" s="1" t="str">
        <f t="shared" si="5"/>
        <v>quinta-feira</v>
      </c>
      <c r="B350" s="108">
        <v>43692</v>
      </c>
      <c r="C350" s="109">
        <v>2</v>
      </c>
    </row>
    <row r="351" spans="1:3" x14ac:dyDescent="0.25">
      <c r="A351" s="1" t="str">
        <f t="shared" si="5"/>
        <v>sexta-feira</v>
      </c>
      <c r="B351" s="108">
        <v>43693</v>
      </c>
      <c r="C351" s="109">
        <v>2</v>
      </c>
    </row>
    <row r="352" spans="1:3" x14ac:dyDescent="0.25">
      <c r="A352" s="1" t="str">
        <f t="shared" si="5"/>
        <v>sábado</v>
      </c>
      <c r="B352" s="108">
        <v>43694</v>
      </c>
      <c r="C352" s="109">
        <v>2</v>
      </c>
    </row>
    <row r="353" spans="1:3" x14ac:dyDescent="0.25">
      <c r="A353" s="1" t="str">
        <f t="shared" si="5"/>
        <v>domingo</v>
      </c>
      <c r="B353" s="108">
        <v>43695</v>
      </c>
      <c r="C353" s="109">
        <v>2</v>
      </c>
    </row>
    <row r="354" spans="1:3" x14ac:dyDescent="0.25">
      <c r="A354" s="1" t="str">
        <f t="shared" si="5"/>
        <v>segunda-feira</v>
      </c>
      <c r="B354" s="108">
        <v>43696</v>
      </c>
      <c r="C354" s="109">
        <v>2</v>
      </c>
    </row>
    <row r="355" spans="1:3" x14ac:dyDescent="0.25">
      <c r="A355" s="1" t="str">
        <f t="shared" si="5"/>
        <v>terça-feira</v>
      </c>
      <c r="B355" s="108">
        <v>43697</v>
      </c>
      <c r="C355" s="109">
        <v>2</v>
      </c>
    </row>
    <row r="356" spans="1:3" x14ac:dyDescent="0.25">
      <c r="A356" s="1" t="str">
        <f t="shared" si="5"/>
        <v>quarta-feira</v>
      </c>
      <c r="B356" s="108">
        <v>43698</v>
      </c>
      <c r="C356" s="109">
        <v>2</v>
      </c>
    </row>
    <row r="357" spans="1:3" x14ac:dyDescent="0.25">
      <c r="A357" s="1" t="str">
        <f t="shared" si="5"/>
        <v>quinta-feira</v>
      </c>
      <c r="B357" s="108">
        <v>43699</v>
      </c>
      <c r="C357" s="109">
        <v>2</v>
      </c>
    </row>
    <row r="358" spans="1:3" x14ac:dyDescent="0.25">
      <c r="A358" s="1" t="str">
        <f t="shared" si="5"/>
        <v>sexta-feira</v>
      </c>
      <c r="B358" s="108">
        <v>43700</v>
      </c>
      <c r="C358" s="109">
        <v>2</v>
      </c>
    </row>
    <row r="359" spans="1:3" x14ac:dyDescent="0.25">
      <c r="A359" s="1" t="str">
        <f t="shared" si="5"/>
        <v>sábado</v>
      </c>
      <c r="B359" s="108">
        <v>43701</v>
      </c>
      <c r="C359" s="109">
        <v>2</v>
      </c>
    </row>
    <row r="360" spans="1:3" x14ac:dyDescent="0.25">
      <c r="A360" s="1" t="str">
        <f t="shared" si="5"/>
        <v>domingo</v>
      </c>
      <c r="B360" s="108">
        <v>43702</v>
      </c>
      <c r="C360" s="109">
        <v>2</v>
      </c>
    </row>
    <row r="361" spans="1:3" x14ac:dyDescent="0.25">
      <c r="A361" s="1" t="str">
        <f t="shared" si="5"/>
        <v>segunda-feira</v>
      </c>
      <c r="B361" s="108">
        <v>43703</v>
      </c>
      <c r="C361" s="109">
        <v>2</v>
      </c>
    </row>
    <row r="362" spans="1:3" x14ac:dyDescent="0.25">
      <c r="A362" s="1" t="str">
        <f t="shared" si="5"/>
        <v>terça-feira</v>
      </c>
      <c r="B362" s="108">
        <v>43704</v>
      </c>
      <c r="C362" s="109">
        <v>2</v>
      </c>
    </row>
    <row r="363" spans="1:3" x14ac:dyDescent="0.25">
      <c r="A363" s="1" t="str">
        <f t="shared" si="5"/>
        <v>quarta-feira</v>
      </c>
      <c r="B363" s="108">
        <v>43705</v>
      </c>
      <c r="C363" s="109">
        <v>2</v>
      </c>
    </row>
    <row r="364" spans="1:3" x14ac:dyDescent="0.25">
      <c r="A364" s="1" t="str">
        <f t="shared" si="5"/>
        <v>quinta-feira</v>
      </c>
      <c r="B364" s="108">
        <v>43706</v>
      </c>
      <c r="C364" s="109">
        <v>2</v>
      </c>
    </row>
    <row r="365" spans="1:3" x14ac:dyDescent="0.25">
      <c r="A365" s="1" t="str">
        <f t="shared" si="5"/>
        <v>sexta-feira</v>
      </c>
      <c r="B365" s="108">
        <v>43707</v>
      </c>
      <c r="C365" s="109">
        <v>2</v>
      </c>
    </row>
    <row r="366" spans="1:3" x14ac:dyDescent="0.25">
      <c r="A366" s="1" t="str">
        <f t="shared" si="5"/>
        <v>sábado</v>
      </c>
      <c r="B366" s="108">
        <v>43708</v>
      </c>
      <c r="C366" s="109">
        <v>2</v>
      </c>
    </row>
    <row r="367" spans="1:3" x14ac:dyDescent="0.25">
      <c r="A367" s="1" t="str">
        <f t="shared" si="5"/>
        <v>domingo</v>
      </c>
      <c r="B367" s="108">
        <v>43709</v>
      </c>
      <c r="C367" s="109">
        <v>2</v>
      </c>
    </row>
    <row r="368" spans="1:3" x14ac:dyDescent="0.25">
      <c r="A368" s="1" t="str">
        <f t="shared" si="5"/>
        <v>segunda-feira</v>
      </c>
      <c r="B368" s="108">
        <v>43710</v>
      </c>
      <c r="C368" s="109">
        <v>2</v>
      </c>
    </row>
    <row r="369" spans="1:3" x14ac:dyDescent="0.25">
      <c r="A369" s="1" t="str">
        <f t="shared" si="5"/>
        <v>terça-feira</v>
      </c>
      <c r="B369" s="108">
        <v>43711</v>
      </c>
      <c r="C369" s="109">
        <v>2</v>
      </c>
    </row>
    <row r="370" spans="1:3" x14ac:dyDescent="0.25">
      <c r="A370" s="1" t="str">
        <f t="shared" si="5"/>
        <v>quarta-feira</v>
      </c>
      <c r="B370" s="108">
        <v>43712</v>
      </c>
      <c r="C370" s="109">
        <v>2</v>
      </c>
    </row>
    <row r="371" spans="1:3" x14ac:dyDescent="0.25">
      <c r="A371" s="1" t="str">
        <f t="shared" si="5"/>
        <v>quinta-feira</v>
      </c>
      <c r="B371" s="108">
        <v>43713</v>
      </c>
      <c r="C371" s="109">
        <v>2</v>
      </c>
    </row>
    <row r="372" spans="1:3" x14ac:dyDescent="0.25">
      <c r="A372" s="1" t="str">
        <f t="shared" si="5"/>
        <v>sexta-feira</v>
      </c>
      <c r="B372" s="108">
        <v>43714</v>
      </c>
      <c r="C372" s="109">
        <v>2</v>
      </c>
    </row>
    <row r="373" spans="1:3" x14ac:dyDescent="0.25">
      <c r="A373" s="1" t="str">
        <f t="shared" si="5"/>
        <v>sábado</v>
      </c>
      <c r="B373" s="108">
        <v>43715</v>
      </c>
      <c r="C373" s="109">
        <v>2</v>
      </c>
    </row>
    <row r="374" spans="1:3" x14ac:dyDescent="0.25">
      <c r="A374" s="1" t="str">
        <f t="shared" si="5"/>
        <v>domingo</v>
      </c>
      <c r="B374" s="108">
        <v>43716</v>
      </c>
      <c r="C374" s="109">
        <v>2</v>
      </c>
    </row>
    <row r="375" spans="1:3" x14ac:dyDescent="0.25">
      <c r="A375" s="1" t="str">
        <f t="shared" si="5"/>
        <v>segunda-feira</v>
      </c>
      <c r="B375" s="108">
        <v>43717</v>
      </c>
      <c r="C375" s="109">
        <v>2</v>
      </c>
    </row>
    <row r="376" spans="1:3" x14ac:dyDescent="0.25">
      <c r="A376" s="1" t="str">
        <f t="shared" si="5"/>
        <v>terça-feira</v>
      </c>
      <c r="B376" s="108">
        <v>43718</v>
      </c>
      <c r="C376" s="109">
        <v>2</v>
      </c>
    </row>
    <row r="377" spans="1:3" x14ac:dyDescent="0.25">
      <c r="A377" s="1" t="str">
        <f t="shared" si="5"/>
        <v>quarta-feira</v>
      </c>
      <c r="B377" s="108">
        <v>43719</v>
      </c>
      <c r="C377" s="109">
        <v>2</v>
      </c>
    </row>
    <row r="378" spans="1:3" x14ac:dyDescent="0.25">
      <c r="A378" s="1" t="str">
        <f t="shared" si="5"/>
        <v>quinta-feira</v>
      </c>
      <c r="B378" s="108">
        <v>43720</v>
      </c>
      <c r="C378" s="109">
        <v>2</v>
      </c>
    </row>
    <row r="379" spans="1:3" x14ac:dyDescent="0.25">
      <c r="A379" s="1" t="str">
        <f t="shared" si="5"/>
        <v>sexta-feira</v>
      </c>
      <c r="B379" s="108">
        <v>43721</v>
      </c>
      <c r="C379" s="109">
        <v>2</v>
      </c>
    </row>
    <row r="380" spans="1:3" x14ac:dyDescent="0.25">
      <c r="A380" s="1" t="str">
        <f t="shared" si="5"/>
        <v>sábado</v>
      </c>
      <c r="B380" s="108">
        <v>43722</v>
      </c>
      <c r="C380" s="109">
        <v>2</v>
      </c>
    </row>
    <row r="381" spans="1:3" x14ac:dyDescent="0.25">
      <c r="A381" s="1" t="str">
        <f t="shared" ref="A381:A444" si="6">TEXT(B381,"dddd")</f>
        <v>domingo</v>
      </c>
      <c r="B381" s="108">
        <v>43723</v>
      </c>
      <c r="C381" s="109">
        <v>2</v>
      </c>
    </row>
    <row r="382" spans="1:3" x14ac:dyDescent="0.25">
      <c r="A382" s="1" t="str">
        <f t="shared" si="6"/>
        <v>segunda-feira</v>
      </c>
      <c r="B382" s="108">
        <v>43724</v>
      </c>
      <c r="C382" s="109">
        <v>2</v>
      </c>
    </row>
    <row r="383" spans="1:3" x14ac:dyDescent="0.25">
      <c r="A383" s="1" t="str">
        <f t="shared" si="6"/>
        <v>terça-feira</v>
      </c>
      <c r="B383" s="108">
        <v>43725</v>
      </c>
      <c r="C383" s="109">
        <v>2</v>
      </c>
    </row>
    <row r="384" spans="1:3" x14ac:dyDescent="0.25">
      <c r="A384" s="1" t="str">
        <f t="shared" si="6"/>
        <v>quarta-feira</v>
      </c>
      <c r="B384" s="108">
        <v>43726</v>
      </c>
      <c r="C384" s="109">
        <v>2</v>
      </c>
    </row>
    <row r="385" spans="1:3" x14ac:dyDescent="0.25">
      <c r="A385" s="1" t="str">
        <f t="shared" si="6"/>
        <v>quinta-feira</v>
      </c>
      <c r="B385" s="108">
        <v>43727</v>
      </c>
      <c r="C385" s="109">
        <v>2</v>
      </c>
    </row>
    <row r="386" spans="1:3" x14ac:dyDescent="0.25">
      <c r="A386" s="1" t="str">
        <f t="shared" si="6"/>
        <v>sexta-feira</v>
      </c>
      <c r="B386" s="108">
        <v>43728</v>
      </c>
      <c r="C386" s="109">
        <v>2</v>
      </c>
    </row>
    <row r="387" spans="1:3" x14ac:dyDescent="0.25">
      <c r="A387" s="1" t="str">
        <f t="shared" si="6"/>
        <v>sábado</v>
      </c>
      <c r="B387" s="108">
        <v>43729</v>
      </c>
      <c r="C387" s="109">
        <v>2</v>
      </c>
    </row>
    <row r="388" spans="1:3" x14ac:dyDescent="0.25">
      <c r="A388" s="1" t="str">
        <f t="shared" si="6"/>
        <v>domingo</v>
      </c>
      <c r="B388" s="108">
        <v>43730</v>
      </c>
      <c r="C388" s="109">
        <v>2</v>
      </c>
    </row>
    <row r="389" spans="1:3" x14ac:dyDescent="0.25">
      <c r="A389" s="1" t="str">
        <f t="shared" si="6"/>
        <v>segunda-feira</v>
      </c>
      <c r="B389" s="108">
        <v>43731</v>
      </c>
      <c r="C389" s="109">
        <v>2</v>
      </c>
    </row>
    <row r="390" spans="1:3" x14ac:dyDescent="0.25">
      <c r="A390" s="1" t="str">
        <f t="shared" si="6"/>
        <v>terça-feira</v>
      </c>
      <c r="B390" s="108">
        <v>43732</v>
      </c>
      <c r="C390" s="109">
        <v>2</v>
      </c>
    </row>
    <row r="391" spans="1:3" x14ac:dyDescent="0.25">
      <c r="A391" s="1" t="str">
        <f t="shared" si="6"/>
        <v>quarta-feira</v>
      </c>
      <c r="B391" s="108">
        <v>43733</v>
      </c>
      <c r="C391" s="109">
        <v>2</v>
      </c>
    </row>
    <row r="392" spans="1:3" x14ac:dyDescent="0.25">
      <c r="A392" s="1" t="str">
        <f t="shared" si="6"/>
        <v>quinta-feira</v>
      </c>
      <c r="B392" s="108">
        <v>43734</v>
      </c>
      <c r="C392" s="109">
        <v>2</v>
      </c>
    </row>
    <row r="393" spans="1:3" x14ac:dyDescent="0.25">
      <c r="A393" s="1" t="str">
        <f t="shared" si="6"/>
        <v>sexta-feira</v>
      </c>
      <c r="B393" s="108">
        <v>43735</v>
      </c>
      <c r="C393" s="109">
        <v>2</v>
      </c>
    </row>
    <row r="394" spans="1:3" x14ac:dyDescent="0.25">
      <c r="A394" s="1" t="str">
        <f t="shared" si="6"/>
        <v>sábado</v>
      </c>
      <c r="B394" s="108">
        <v>43736</v>
      </c>
      <c r="C394" s="109">
        <v>2</v>
      </c>
    </row>
    <row r="395" spans="1:3" x14ac:dyDescent="0.25">
      <c r="A395" s="1" t="str">
        <f t="shared" si="6"/>
        <v>domingo</v>
      </c>
      <c r="B395" s="108">
        <v>43737</v>
      </c>
      <c r="C395" s="109">
        <v>2</v>
      </c>
    </row>
    <row r="396" spans="1:3" x14ac:dyDescent="0.25">
      <c r="A396" s="1" t="str">
        <f t="shared" si="6"/>
        <v>segunda-feira</v>
      </c>
      <c r="B396" s="108">
        <v>43738</v>
      </c>
      <c r="C396" s="109">
        <v>2</v>
      </c>
    </row>
    <row r="397" spans="1:3" x14ac:dyDescent="0.25">
      <c r="A397" s="1" t="str">
        <f t="shared" si="6"/>
        <v>terça-feira</v>
      </c>
      <c r="B397" s="108">
        <v>43739</v>
      </c>
      <c r="C397" s="109">
        <v>2</v>
      </c>
    </row>
    <row r="398" spans="1:3" x14ac:dyDescent="0.25">
      <c r="A398" s="1" t="str">
        <f t="shared" si="6"/>
        <v>quarta-feira</v>
      </c>
      <c r="B398" s="108">
        <v>43740</v>
      </c>
      <c r="C398" s="109">
        <v>2</v>
      </c>
    </row>
    <row r="399" spans="1:3" x14ac:dyDescent="0.25">
      <c r="A399" s="1" t="str">
        <f t="shared" si="6"/>
        <v>quinta-feira</v>
      </c>
      <c r="B399" s="108">
        <v>43741</v>
      </c>
      <c r="C399" s="109">
        <v>2</v>
      </c>
    </row>
    <row r="400" spans="1:3" x14ac:dyDescent="0.25">
      <c r="A400" s="1" t="str">
        <f t="shared" si="6"/>
        <v>sexta-feira</v>
      </c>
      <c r="B400" s="108">
        <v>43742</v>
      </c>
      <c r="C400" s="109">
        <v>2</v>
      </c>
    </row>
    <row r="401" spans="1:3" x14ac:dyDescent="0.25">
      <c r="A401" s="1" t="str">
        <f t="shared" si="6"/>
        <v>sábado</v>
      </c>
      <c r="B401" s="108">
        <v>43743</v>
      </c>
      <c r="C401" s="109">
        <v>2</v>
      </c>
    </row>
    <row r="402" spans="1:3" x14ac:dyDescent="0.25">
      <c r="A402" s="1" t="str">
        <f t="shared" si="6"/>
        <v>domingo</v>
      </c>
      <c r="B402" s="108">
        <v>43744</v>
      </c>
      <c r="C402" s="109">
        <v>2</v>
      </c>
    </row>
    <row r="403" spans="1:3" x14ac:dyDescent="0.25">
      <c r="A403" s="1" t="str">
        <f t="shared" si="6"/>
        <v>segunda-feira</v>
      </c>
      <c r="B403" s="108">
        <v>43745</v>
      </c>
      <c r="C403" s="109">
        <v>2</v>
      </c>
    </row>
    <row r="404" spans="1:3" x14ac:dyDescent="0.25">
      <c r="A404" s="1" t="str">
        <f t="shared" si="6"/>
        <v>terça-feira</v>
      </c>
      <c r="B404" s="108">
        <v>43746</v>
      </c>
      <c r="C404" s="109">
        <v>2</v>
      </c>
    </row>
    <row r="405" spans="1:3" x14ac:dyDescent="0.25">
      <c r="A405" s="1" t="str">
        <f t="shared" si="6"/>
        <v>quarta-feira</v>
      </c>
      <c r="B405" s="108">
        <v>43747</v>
      </c>
      <c r="C405" s="109">
        <v>2</v>
      </c>
    </row>
    <row r="406" spans="1:3" x14ac:dyDescent="0.25">
      <c r="A406" s="1" t="str">
        <f t="shared" si="6"/>
        <v>quinta-feira</v>
      </c>
      <c r="B406" s="108">
        <v>43748</v>
      </c>
      <c r="C406" s="109">
        <v>2</v>
      </c>
    </row>
    <row r="407" spans="1:3" x14ac:dyDescent="0.25">
      <c r="A407" s="1" t="str">
        <f t="shared" si="6"/>
        <v>sexta-feira</v>
      </c>
      <c r="B407" s="108">
        <v>43749</v>
      </c>
      <c r="C407" s="109">
        <v>2</v>
      </c>
    </row>
    <row r="408" spans="1:3" x14ac:dyDescent="0.25">
      <c r="A408" s="1" t="str">
        <f t="shared" si="6"/>
        <v>sábado</v>
      </c>
      <c r="B408" s="108">
        <v>43750</v>
      </c>
      <c r="C408" s="109">
        <v>2</v>
      </c>
    </row>
    <row r="409" spans="1:3" x14ac:dyDescent="0.25">
      <c r="A409" s="1" t="str">
        <f t="shared" si="6"/>
        <v>domingo</v>
      </c>
      <c r="B409" s="108">
        <v>43751</v>
      </c>
      <c r="C409" s="109">
        <v>2</v>
      </c>
    </row>
    <row r="410" spans="1:3" x14ac:dyDescent="0.25">
      <c r="A410" s="1" t="str">
        <f t="shared" si="6"/>
        <v>segunda-feira</v>
      </c>
      <c r="B410" s="108">
        <v>43752</v>
      </c>
      <c r="C410" s="109">
        <v>2</v>
      </c>
    </row>
    <row r="411" spans="1:3" x14ac:dyDescent="0.25">
      <c r="A411" s="1" t="str">
        <f t="shared" si="6"/>
        <v>terça-feira</v>
      </c>
      <c r="B411" s="108">
        <v>43753</v>
      </c>
      <c r="C411" s="109">
        <v>2</v>
      </c>
    </row>
    <row r="412" spans="1:3" x14ac:dyDescent="0.25">
      <c r="A412" s="1" t="str">
        <f t="shared" si="6"/>
        <v>quarta-feira</v>
      </c>
      <c r="B412" s="108">
        <v>43754</v>
      </c>
      <c r="C412" s="109">
        <v>2</v>
      </c>
    </row>
    <row r="413" spans="1:3" x14ac:dyDescent="0.25">
      <c r="A413" s="1" t="str">
        <f t="shared" si="6"/>
        <v>quinta-feira</v>
      </c>
      <c r="B413" s="108">
        <v>43755</v>
      </c>
      <c r="C413" s="109">
        <v>2</v>
      </c>
    </row>
    <row r="414" spans="1:3" x14ac:dyDescent="0.25">
      <c r="A414" s="1" t="str">
        <f t="shared" si="6"/>
        <v>sexta-feira</v>
      </c>
      <c r="B414" s="108">
        <v>43756</v>
      </c>
      <c r="C414" s="109">
        <v>2</v>
      </c>
    </row>
    <row r="415" spans="1:3" x14ac:dyDescent="0.25">
      <c r="A415" s="1" t="str">
        <f t="shared" si="6"/>
        <v>sábado</v>
      </c>
      <c r="B415" s="108">
        <v>43757</v>
      </c>
      <c r="C415" s="109">
        <v>2</v>
      </c>
    </row>
    <row r="416" spans="1:3" x14ac:dyDescent="0.25">
      <c r="A416" s="1" t="str">
        <f t="shared" si="6"/>
        <v>domingo</v>
      </c>
      <c r="B416" s="108">
        <v>43758</v>
      </c>
      <c r="C416" s="109">
        <v>2</v>
      </c>
    </row>
    <row r="417" spans="1:3" x14ac:dyDescent="0.25">
      <c r="A417" s="1" t="str">
        <f t="shared" si="6"/>
        <v>segunda-feira</v>
      </c>
      <c r="B417" s="108">
        <v>43759</v>
      </c>
      <c r="C417" s="109">
        <v>2</v>
      </c>
    </row>
    <row r="418" spans="1:3" x14ac:dyDescent="0.25">
      <c r="A418" s="1" t="str">
        <f t="shared" si="6"/>
        <v>terça-feira</v>
      </c>
      <c r="B418" s="108">
        <v>43760</v>
      </c>
      <c r="C418" s="109">
        <v>2</v>
      </c>
    </row>
    <row r="419" spans="1:3" x14ac:dyDescent="0.25">
      <c r="A419" s="1" t="str">
        <f t="shared" si="6"/>
        <v>quarta-feira</v>
      </c>
      <c r="B419" s="108">
        <v>43761</v>
      </c>
      <c r="C419" s="109">
        <v>2</v>
      </c>
    </row>
    <row r="420" spans="1:3" x14ac:dyDescent="0.25">
      <c r="A420" s="1" t="str">
        <f t="shared" si="6"/>
        <v>quinta-feira</v>
      </c>
      <c r="B420" s="108">
        <v>43762</v>
      </c>
      <c r="C420" s="109">
        <v>2</v>
      </c>
    </row>
    <row r="421" spans="1:3" x14ac:dyDescent="0.25">
      <c r="A421" s="1" t="str">
        <f t="shared" si="6"/>
        <v>sexta-feira</v>
      </c>
      <c r="B421" s="108">
        <v>43763</v>
      </c>
      <c r="C421" s="109">
        <v>2</v>
      </c>
    </row>
    <row r="422" spans="1:3" x14ac:dyDescent="0.25">
      <c r="A422" s="1" t="str">
        <f t="shared" si="6"/>
        <v>sábado</v>
      </c>
      <c r="B422" s="108">
        <v>43764</v>
      </c>
      <c r="C422" s="109">
        <v>2</v>
      </c>
    </row>
    <row r="423" spans="1:3" x14ac:dyDescent="0.25">
      <c r="A423" s="1" t="str">
        <f t="shared" si="6"/>
        <v>domingo</v>
      </c>
      <c r="B423" s="108">
        <v>43765</v>
      </c>
      <c r="C423" s="109">
        <v>2</v>
      </c>
    </row>
    <row r="424" spans="1:3" x14ac:dyDescent="0.25">
      <c r="A424" s="1" t="str">
        <f t="shared" si="6"/>
        <v>segunda-feira</v>
      </c>
      <c r="B424" s="108">
        <v>43766</v>
      </c>
      <c r="C424" s="109">
        <v>2</v>
      </c>
    </row>
    <row r="425" spans="1:3" x14ac:dyDescent="0.25">
      <c r="A425" s="1" t="str">
        <f t="shared" si="6"/>
        <v>terça-feira</v>
      </c>
      <c r="B425" s="108">
        <v>43767</v>
      </c>
      <c r="C425" s="109">
        <v>2</v>
      </c>
    </row>
    <row r="426" spans="1:3" x14ac:dyDescent="0.25">
      <c r="A426" s="1" t="str">
        <f t="shared" si="6"/>
        <v>quarta-feira</v>
      </c>
      <c r="B426" s="108">
        <v>43768</v>
      </c>
      <c r="C426" s="109">
        <v>2</v>
      </c>
    </row>
    <row r="427" spans="1:3" x14ac:dyDescent="0.25">
      <c r="A427" s="1" t="str">
        <f t="shared" si="6"/>
        <v>quinta-feira</v>
      </c>
      <c r="B427" s="108">
        <v>43769</v>
      </c>
      <c r="C427" s="109">
        <v>2</v>
      </c>
    </row>
    <row r="428" spans="1:3" x14ac:dyDescent="0.25">
      <c r="A428" s="1" t="str">
        <f t="shared" si="6"/>
        <v>sexta-feira</v>
      </c>
      <c r="B428" s="108">
        <v>43770</v>
      </c>
      <c r="C428" s="109">
        <v>2</v>
      </c>
    </row>
    <row r="429" spans="1:3" x14ac:dyDescent="0.25">
      <c r="A429" s="1" t="str">
        <f t="shared" si="6"/>
        <v>sábado</v>
      </c>
      <c r="B429" s="108">
        <v>43771</v>
      </c>
      <c r="C429" s="109">
        <v>2</v>
      </c>
    </row>
    <row r="430" spans="1:3" x14ac:dyDescent="0.25">
      <c r="A430" s="1" t="str">
        <f t="shared" si="6"/>
        <v>domingo</v>
      </c>
      <c r="B430" s="108">
        <v>43772</v>
      </c>
      <c r="C430" s="109">
        <v>2</v>
      </c>
    </row>
    <row r="431" spans="1:3" x14ac:dyDescent="0.25">
      <c r="A431" s="1" t="str">
        <f t="shared" si="6"/>
        <v>segunda-feira</v>
      </c>
      <c r="B431" s="108">
        <v>43773</v>
      </c>
      <c r="C431" s="109">
        <v>2</v>
      </c>
    </row>
    <row r="432" spans="1:3" x14ac:dyDescent="0.25">
      <c r="A432" s="1" t="str">
        <f t="shared" si="6"/>
        <v>terça-feira</v>
      </c>
      <c r="B432" s="108">
        <v>43774</v>
      </c>
      <c r="C432" s="109">
        <v>2</v>
      </c>
    </row>
    <row r="433" spans="1:3" x14ac:dyDescent="0.25">
      <c r="A433" s="1" t="str">
        <f t="shared" si="6"/>
        <v>quarta-feira</v>
      </c>
      <c r="B433" s="108">
        <v>43775</v>
      </c>
      <c r="C433" s="109">
        <v>2</v>
      </c>
    </row>
    <row r="434" spans="1:3" x14ac:dyDescent="0.25">
      <c r="A434" s="1" t="str">
        <f t="shared" si="6"/>
        <v>quinta-feira</v>
      </c>
      <c r="B434" s="108">
        <v>43776</v>
      </c>
      <c r="C434" s="109">
        <v>2</v>
      </c>
    </row>
    <row r="435" spans="1:3" x14ac:dyDescent="0.25">
      <c r="A435" s="1" t="str">
        <f t="shared" si="6"/>
        <v>sexta-feira</v>
      </c>
      <c r="B435" s="108">
        <v>43777</v>
      </c>
      <c r="C435" s="109">
        <v>2</v>
      </c>
    </row>
    <row r="436" spans="1:3" x14ac:dyDescent="0.25">
      <c r="A436" s="1" t="str">
        <f t="shared" si="6"/>
        <v>sábado</v>
      </c>
      <c r="B436" s="108">
        <v>43778</v>
      </c>
      <c r="C436" s="109">
        <v>2</v>
      </c>
    </row>
    <row r="437" spans="1:3" x14ac:dyDescent="0.25">
      <c r="A437" s="1" t="str">
        <f t="shared" si="6"/>
        <v>domingo</v>
      </c>
      <c r="B437" s="108">
        <v>43779</v>
      </c>
      <c r="C437" s="109">
        <v>2</v>
      </c>
    </row>
    <row r="438" spans="1:3" x14ac:dyDescent="0.25">
      <c r="A438" s="1" t="str">
        <f t="shared" si="6"/>
        <v>segunda-feira</v>
      </c>
      <c r="B438" s="108">
        <v>43780</v>
      </c>
      <c r="C438" s="109">
        <v>2</v>
      </c>
    </row>
    <row r="439" spans="1:3" x14ac:dyDescent="0.25">
      <c r="A439" s="1" t="str">
        <f t="shared" si="6"/>
        <v>terça-feira</v>
      </c>
      <c r="B439" s="108">
        <v>43781</v>
      </c>
      <c r="C439" s="109">
        <v>2</v>
      </c>
    </row>
    <row r="440" spans="1:3" x14ac:dyDescent="0.25">
      <c r="A440" s="1" t="str">
        <f t="shared" si="6"/>
        <v>quarta-feira</v>
      </c>
      <c r="B440" s="108">
        <v>43782</v>
      </c>
      <c r="C440" s="109">
        <v>2</v>
      </c>
    </row>
    <row r="441" spans="1:3" x14ac:dyDescent="0.25">
      <c r="A441" s="1" t="str">
        <f t="shared" si="6"/>
        <v>quinta-feira</v>
      </c>
      <c r="B441" s="108">
        <v>43783</v>
      </c>
      <c r="C441" s="109">
        <v>2</v>
      </c>
    </row>
    <row r="442" spans="1:3" x14ac:dyDescent="0.25">
      <c r="A442" s="1" t="str">
        <f t="shared" si="6"/>
        <v>sexta-feira</v>
      </c>
      <c r="B442" s="108">
        <v>43784</v>
      </c>
      <c r="C442" s="109">
        <v>2</v>
      </c>
    </row>
    <row r="443" spans="1:3" x14ac:dyDescent="0.25">
      <c r="A443" s="1" t="str">
        <f t="shared" si="6"/>
        <v>sábado</v>
      </c>
      <c r="B443" s="108">
        <v>43785</v>
      </c>
      <c r="C443" s="109">
        <v>2</v>
      </c>
    </row>
    <row r="444" spans="1:3" x14ac:dyDescent="0.25">
      <c r="A444" s="1" t="str">
        <f t="shared" si="6"/>
        <v>domingo</v>
      </c>
      <c r="B444" s="108">
        <v>43786</v>
      </c>
      <c r="C444" s="109">
        <v>2</v>
      </c>
    </row>
    <row r="445" spans="1:3" x14ac:dyDescent="0.25">
      <c r="A445" s="1" t="str">
        <f t="shared" ref="A445:A508" si="7">TEXT(B445,"dddd")</f>
        <v>segunda-feira</v>
      </c>
      <c r="B445" s="108">
        <v>43787</v>
      </c>
      <c r="C445" s="109">
        <v>2</v>
      </c>
    </row>
    <row r="446" spans="1:3" x14ac:dyDescent="0.25">
      <c r="A446" s="1" t="str">
        <f t="shared" si="7"/>
        <v>terça-feira</v>
      </c>
      <c r="B446" s="108">
        <v>43788</v>
      </c>
      <c r="C446" s="109">
        <v>2</v>
      </c>
    </row>
    <row r="447" spans="1:3" x14ac:dyDescent="0.25">
      <c r="A447" s="1" t="str">
        <f t="shared" si="7"/>
        <v>quarta-feira</v>
      </c>
      <c r="B447" s="108">
        <v>43789</v>
      </c>
      <c r="C447" s="109">
        <v>2</v>
      </c>
    </row>
    <row r="448" spans="1:3" x14ac:dyDescent="0.25">
      <c r="A448" s="1" t="str">
        <f t="shared" si="7"/>
        <v>quinta-feira</v>
      </c>
      <c r="B448" s="108">
        <v>43790</v>
      </c>
      <c r="C448" s="109">
        <v>2</v>
      </c>
    </row>
    <row r="449" spans="1:3" x14ac:dyDescent="0.25">
      <c r="A449" s="1" t="str">
        <f t="shared" si="7"/>
        <v>sexta-feira</v>
      </c>
      <c r="B449" s="108">
        <v>43791</v>
      </c>
      <c r="C449" s="109">
        <v>2</v>
      </c>
    </row>
    <row r="450" spans="1:3" x14ac:dyDescent="0.25">
      <c r="A450" s="1" t="str">
        <f t="shared" si="7"/>
        <v>sábado</v>
      </c>
      <c r="B450" s="108">
        <v>43792</v>
      </c>
      <c r="C450" s="109">
        <v>2</v>
      </c>
    </row>
    <row r="451" spans="1:3" x14ac:dyDescent="0.25">
      <c r="A451" s="1" t="str">
        <f t="shared" si="7"/>
        <v>domingo</v>
      </c>
      <c r="B451" s="108">
        <v>43793</v>
      </c>
      <c r="C451" s="109">
        <v>2</v>
      </c>
    </row>
    <row r="452" spans="1:3" x14ac:dyDescent="0.25">
      <c r="A452" s="1" t="str">
        <f t="shared" si="7"/>
        <v>segunda-feira</v>
      </c>
      <c r="B452" s="108">
        <v>43794</v>
      </c>
      <c r="C452" s="109">
        <v>2</v>
      </c>
    </row>
    <row r="453" spans="1:3" x14ac:dyDescent="0.25">
      <c r="A453" s="1" t="str">
        <f t="shared" si="7"/>
        <v>terça-feira</v>
      </c>
      <c r="B453" s="108">
        <v>43795</v>
      </c>
      <c r="C453" s="109">
        <v>2</v>
      </c>
    </row>
    <row r="454" spans="1:3" x14ac:dyDescent="0.25">
      <c r="A454" s="1" t="str">
        <f t="shared" si="7"/>
        <v>quarta-feira</v>
      </c>
      <c r="B454" s="108">
        <v>43796</v>
      </c>
      <c r="C454" s="109">
        <v>2</v>
      </c>
    </row>
    <row r="455" spans="1:3" x14ac:dyDescent="0.25">
      <c r="A455" s="1" t="str">
        <f t="shared" si="7"/>
        <v>quinta-feira</v>
      </c>
      <c r="B455" s="108">
        <v>43797</v>
      </c>
      <c r="C455" s="109">
        <v>2</v>
      </c>
    </row>
    <row r="456" spans="1:3" x14ac:dyDescent="0.25">
      <c r="A456" s="1" t="str">
        <f t="shared" si="7"/>
        <v>sexta-feira</v>
      </c>
      <c r="B456" s="108">
        <v>43798</v>
      </c>
      <c r="C456" s="109">
        <v>2</v>
      </c>
    </row>
    <row r="457" spans="1:3" x14ac:dyDescent="0.25">
      <c r="A457" s="1" t="str">
        <f t="shared" si="7"/>
        <v>sábado</v>
      </c>
      <c r="B457" s="108">
        <v>43799</v>
      </c>
      <c r="C457" s="109">
        <v>2</v>
      </c>
    </row>
    <row r="458" spans="1:3" x14ac:dyDescent="0.25">
      <c r="A458" s="1" t="str">
        <f t="shared" si="7"/>
        <v>domingo</v>
      </c>
      <c r="B458" s="108">
        <v>43800</v>
      </c>
      <c r="C458" s="109">
        <v>2</v>
      </c>
    </row>
    <row r="459" spans="1:3" x14ac:dyDescent="0.25">
      <c r="A459" s="1" t="str">
        <f t="shared" si="7"/>
        <v>segunda-feira</v>
      </c>
      <c r="B459" s="108">
        <v>43801</v>
      </c>
      <c r="C459" s="109">
        <v>2</v>
      </c>
    </row>
    <row r="460" spans="1:3" x14ac:dyDescent="0.25">
      <c r="A460" s="1" t="str">
        <f t="shared" si="7"/>
        <v>terça-feira</v>
      </c>
      <c r="B460" s="108">
        <v>43802</v>
      </c>
      <c r="C460" s="109">
        <v>2</v>
      </c>
    </row>
    <row r="461" spans="1:3" x14ac:dyDescent="0.25">
      <c r="A461" s="1" t="str">
        <f t="shared" si="7"/>
        <v>quarta-feira</v>
      </c>
      <c r="B461" s="108">
        <v>43803</v>
      </c>
      <c r="C461" s="109">
        <v>2</v>
      </c>
    </row>
    <row r="462" spans="1:3" x14ac:dyDescent="0.25">
      <c r="A462" s="1" t="str">
        <f t="shared" si="7"/>
        <v>quinta-feira</v>
      </c>
      <c r="B462" s="108">
        <v>43804</v>
      </c>
      <c r="C462" s="109">
        <v>2</v>
      </c>
    </row>
    <row r="463" spans="1:3" x14ac:dyDescent="0.25">
      <c r="A463" s="1" t="str">
        <f t="shared" si="7"/>
        <v>sexta-feira</v>
      </c>
      <c r="B463" s="108">
        <v>43805</v>
      </c>
      <c r="C463" s="109">
        <v>2</v>
      </c>
    </row>
    <row r="464" spans="1:3" x14ac:dyDescent="0.25">
      <c r="A464" s="1" t="str">
        <f t="shared" si="7"/>
        <v>sábado</v>
      </c>
      <c r="B464" s="108">
        <v>43806</v>
      </c>
      <c r="C464" s="109">
        <v>2</v>
      </c>
    </row>
    <row r="465" spans="1:3" x14ac:dyDescent="0.25">
      <c r="A465" s="1" t="str">
        <f t="shared" si="7"/>
        <v>domingo</v>
      </c>
      <c r="B465" s="108">
        <v>43807</v>
      </c>
      <c r="C465" s="109">
        <v>2</v>
      </c>
    </row>
    <row r="466" spans="1:3" x14ac:dyDescent="0.25">
      <c r="A466" s="1" t="str">
        <f t="shared" si="7"/>
        <v>segunda-feira</v>
      </c>
      <c r="B466" s="108">
        <v>43808</v>
      </c>
      <c r="C466" s="109">
        <v>2</v>
      </c>
    </row>
    <row r="467" spans="1:3" x14ac:dyDescent="0.25">
      <c r="A467" s="1" t="str">
        <f t="shared" si="7"/>
        <v>terça-feira</v>
      </c>
      <c r="B467" s="108">
        <v>43809</v>
      </c>
      <c r="C467" s="109">
        <v>2</v>
      </c>
    </row>
    <row r="468" spans="1:3" x14ac:dyDescent="0.25">
      <c r="A468" s="1" t="str">
        <f t="shared" si="7"/>
        <v>quarta-feira</v>
      </c>
      <c r="B468" s="108">
        <v>43810</v>
      </c>
      <c r="C468" s="109">
        <v>2</v>
      </c>
    </row>
    <row r="469" spans="1:3" x14ac:dyDescent="0.25">
      <c r="A469" s="1" t="str">
        <f t="shared" si="7"/>
        <v>quinta-feira</v>
      </c>
      <c r="B469" s="108">
        <v>43811</v>
      </c>
      <c r="C469" s="109">
        <v>2</v>
      </c>
    </row>
    <row r="470" spans="1:3" x14ac:dyDescent="0.25">
      <c r="A470" s="1" t="str">
        <f t="shared" si="7"/>
        <v>sexta-feira</v>
      </c>
      <c r="B470" s="108">
        <v>43812</v>
      </c>
      <c r="C470" s="109">
        <v>2</v>
      </c>
    </row>
    <row r="471" spans="1:3" x14ac:dyDescent="0.25">
      <c r="A471" s="1" t="str">
        <f t="shared" si="7"/>
        <v>sábado</v>
      </c>
      <c r="B471" s="108">
        <v>43813</v>
      </c>
      <c r="C471" s="109">
        <v>2</v>
      </c>
    </row>
    <row r="472" spans="1:3" x14ac:dyDescent="0.25">
      <c r="A472" s="1" t="str">
        <f t="shared" si="7"/>
        <v>domingo</v>
      </c>
      <c r="B472" s="108">
        <v>43814</v>
      </c>
      <c r="C472" s="109">
        <v>2</v>
      </c>
    </row>
    <row r="473" spans="1:3" x14ac:dyDescent="0.25">
      <c r="A473" s="1" t="str">
        <f t="shared" si="7"/>
        <v>segunda-feira</v>
      </c>
      <c r="B473" s="108">
        <v>43815</v>
      </c>
      <c r="C473" s="109">
        <v>2</v>
      </c>
    </row>
    <row r="474" spans="1:3" x14ac:dyDescent="0.25">
      <c r="A474" s="1" t="str">
        <f t="shared" si="7"/>
        <v>terça-feira</v>
      </c>
      <c r="B474" s="108">
        <v>43816</v>
      </c>
      <c r="C474" s="109">
        <v>2</v>
      </c>
    </row>
    <row r="475" spans="1:3" x14ac:dyDescent="0.25">
      <c r="A475" s="1" t="str">
        <f t="shared" si="7"/>
        <v>quarta-feira</v>
      </c>
      <c r="B475" s="108">
        <v>43817</v>
      </c>
      <c r="C475" s="109">
        <v>2</v>
      </c>
    </row>
    <row r="476" spans="1:3" x14ac:dyDescent="0.25">
      <c r="A476" s="1" t="str">
        <f t="shared" si="7"/>
        <v>quinta-feira</v>
      </c>
      <c r="B476" s="108">
        <v>43818</v>
      </c>
      <c r="C476" s="109">
        <v>2</v>
      </c>
    </row>
    <row r="477" spans="1:3" x14ac:dyDescent="0.25">
      <c r="A477" s="1" t="str">
        <f t="shared" si="7"/>
        <v>sexta-feira</v>
      </c>
      <c r="B477" s="108">
        <v>43819</v>
      </c>
      <c r="C477" s="109">
        <v>2</v>
      </c>
    </row>
    <row r="478" spans="1:3" x14ac:dyDescent="0.25">
      <c r="A478" s="1" t="str">
        <f t="shared" si="7"/>
        <v>sábado</v>
      </c>
      <c r="B478" s="108">
        <v>43820</v>
      </c>
      <c r="C478" s="109">
        <v>2</v>
      </c>
    </row>
    <row r="479" spans="1:3" x14ac:dyDescent="0.25">
      <c r="A479" s="1" t="str">
        <f t="shared" si="7"/>
        <v>domingo</v>
      </c>
      <c r="B479" s="108">
        <v>43821</v>
      </c>
      <c r="C479" s="109">
        <v>2</v>
      </c>
    </row>
    <row r="480" spans="1:3" x14ac:dyDescent="0.25">
      <c r="A480" s="1" t="str">
        <f t="shared" si="7"/>
        <v>segunda-feira</v>
      </c>
      <c r="B480" s="108">
        <v>43822</v>
      </c>
      <c r="C480" s="109">
        <v>2</v>
      </c>
    </row>
    <row r="481" spans="1:3" x14ac:dyDescent="0.25">
      <c r="A481" s="1" t="str">
        <f t="shared" si="7"/>
        <v>terça-feira</v>
      </c>
      <c r="B481" s="108">
        <v>43823</v>
      </c>
      <c r="C481" s="109">
        <v>2</v>
      </c>
    </row>
    <row r="482" spans="1:3" x14ac:dyDescent="0.25">
      <c r="A482" s="1" t="str">
        <f t="shared" si="7"/>
        <v>quarta-feira</v>
      </c>
      <c r="B482" s="108">
        <v>43824</v>
      </c>
      <c r="C482" s="109">
        <v>2</v>
      </c>
    </row>
    <row r="483" spans="1:3" x14ac:dyDescent="0.25">
      <c r="A483" s="1" t="str">
        <f t="shared" si="7"/>
        <v>quinta-feira</v>
      </c>
      <c r="B483" s="108">
        <v>43825</v>
      </c>
      <c r="C483" s="109">
        <v>2</v>
      </c>
    </row>
    <row r="484" spans="1:3" x14ac:dyDescent="0.25">
      <c r="A484" s="1" t="str">
        <f t="shared" si="7"/>
        <v>sexta-feira</v>
      </c>
      <c r="B484" s="108">
        <v>43826</v>
      </c>
      <c r="C484" s="109">
        <v>2</v>
      </c>
    </row>
    <row r="485" spans="1:3" x14ac:dyDescent="0.25">
      <c r="A485" s="1" t="str">
        <f t="shared" si="7"/>
        <v>sábado</v>
      </c>
      <c r="B485" s="108">
        <v>43827</v>
      </c>
      <c r="C485" s="109">
        <v>2</v>
      </c>
    </row>
    <row r="486" spans="1:3" x14ac:dyDescent="0.25">
      <c r="A486" s="1" t="str">
        <f t="shared" si="7"/>
        <v>domingo</v>
      </c>
      <c r="B486" s="108">
        <v>43828</v>
      </c>
      <c r="C486" s="109">
        <v>2</v>
      </c>
    </row>
    <row r="487" spans="1:3" x14ac:dyDescent="0.25">
      <c r="A487" s="1" t="str">
        <f t="shared" si="7"/>
        <v>segunda-feira</v>
      </c>
      <c r="B487" s="108">
        <v>43829</v>
      </c>
      <c r="C487" s="109">
        <v>2</v>
      </c>
    </row>
    <row r="488" spans="1:3" x14ac:dyDescent="0.25">
      <c r="A488" s="1" t="str">
        <f t="shared" si="7"/>
        <v>terça-feira</v>
      </c>
      <c r="B488" s="108">
        <v>43830</v>
      </c>
      <c r="C488" s="109">
        <v>2</v>
      </c>
    </row>
    <row r="489" spans="1:3" x14ac:dyDescent="0.25">
      <c r="A489" s="1" t="str">
        <f t="shared" si="7"/>
        <v>quarta-feira</v>
      </c>
      <c r="B489" s="108">
        <v>43831</v>
      </c>
      <c r="C489" s="109">
        <v>2</v>
      </c>
    </row>
    <row r="490" spans="1:3" x14ac:dyDescent="0.25">
      <c r="A490" s="1" t="str">
        <f t="shared" si="7"/>
        <v>quinta-feira</v>
      </c>
      <c r="B490" s="108">
        <v>43832</v>
      </c>
      <c r="C490" s="109">
        <v>2</v>
      </c>
    </row>
    <row r="491" spans="1:3" x14ac:dyDescent="0.25">
      <c r="A491" s="1" t="str">
        <f t="shared" si="7"/>
        <v>sexta-feira</v>
      </c>
      <c r="B491" s="108">
        <v>43833</v>
      </c>
      <c r="C491" s="109">
        <v>2</v>
      </c>
    </row>
    <row r="492" spans="1:3" x14ac:dyDescent="0.25">
      <c r="A492" s="1" t="str">
        <f t="shared" si="7"/>
        <v>sábado</v>
      </c>
      <c r="B492" s="108">
        <v>43834</v>
      </c>
      <c r="C492" s="109">
        <v>2</v>
      </c>
    </row>
    <row r="493" spans="1:3" x14ac:dyDescent="0.25">
      <c r="A493" s="1" t="str">
        <f t="shared" si="7"/>
        <v>domingo</v>
      </c>
      <c r="B493" s="108">
        <v>43835</v>
      </c>
      <c r="C493" s="109">
        <v>2</v>
      </c>
    </row>
    <row r="494" spans="1:3" x14ac:dyDescent="0.25">
      <c r="A494" s="1" t="str">
        <f t="shared" si="7"/>
        <v>segunda-feira</v>
      </c>
      <c r="B494" s="108">
        <v>43836</v>
      </c>
      <c r="C494" s="109">
        <v>2</v>
      </c>
    </row>
    <row r="495" spans="1:3" x14ac:dyDescent="0.25">
      <c r="A495" s="1" t="str">
        <f t="shared" si="7"/>
        <v>terça-feira</v>
      </c>
      <c r="B495" s="108">
        <v>43837</v>
      </c>
      <c r="C495" s="109">
        <v>2</v>
      </c>
    </row>
    <row r="496" spans="1:3" x14ac:dyDescent="0.25">
      <c r="A496" s="1" t="str">
        <f t="shared" si="7"/>
        <v>quarta-feira</v>
      </c>
      <c r="B496" s="108">
        <v>43838</v>
      </c>
      <c r="C496" s="109">
        <v>2</v>
      </c>
    </row>
    <row r="497" spans="1:3" x14ac:dyDescent="0.25">
      <c r="A497" s="1" t="str">
        <f t="shared" si="7"/>
        <v>quinta-feira</v>
      </c>
      <c r="B497" s="108">
        <v>43839</v>
      </c>
      <c r="C497" s="109">
        <v>2</v>
      </c>
    </row>
    <row r="498" spans="1:3" x14ac:dyDescent="0.25">
      <c r="A498" s="1" t="str">
        <f t="shared" si="7"/>
        <v>sexta-feira</v>
      </c>
      <c r="B498" s="108">
        <v>43840</v>
      </c>
      <c r="C498" s="109">
        <v>2</v>
      </c>
    </row>
    <row r="499" spans="1:3" x14ac:dyDescent="0.25">
      <c r="A499" s="1" t="str">
        <f t="shared" si="7"/>
        <v>sábado</v>
      </c>
      <c r="B499" s="108">
        <v>43841</v>
      </c>
      <c r="C499" s="109">
        <v>2</v>
      </c>
    </row>
    <row r="500" spans="1:3" x14ac:dyDescent="0.25">
      <c r="A500" s="1" t="str">
        <f t="shared" si="7"/>
        <v>domingo</v>
      </c>
      <c r="B500" s="108">
        <v>43842</v>
      </c>
      <c r="C500" s="109">
        <v>2</v>
      </c>
    </row>
    <row r="501" spans="1:3" x14ac:dyDescent="0.25">
      <c r="A501" s="1" t="str">
        <f t="shared" si="7"/>
        <v>segunda-feira</v>
      </c>
      <c r="B501" s="108">
        <v>43843</v>
      </c>
      <c r="C501" s="109">
        <v>2</v>
      </c>
    </row>
    <row r="502" spans="1:3" x14ac:dyDescent="0.25">
      <c r="A502" s="1" t="str">
        <f t="shared" si="7"/>
        <v>terça-feira</v>
      </c>
      <c r="B502" s="108">
        <v>43844</v>
      </c>
      <c r="C502" s="109">
        <v>2</v>
      </c>
    </row>
    <row r="503" spans="1:3" x14ac:dyDescent="0.25">
      <c r="A503" s="1" t="str">
        <f t="shared" si="7"/>
        <v>quarta-feira</v>
      </c>
      <c r="B503" s="108">
        <v>43845</v>
      </c>
      <c r="C503" s="109">
        <v>2</v>
      </c>
    </row>
    <row r="504" spans="1:3" x14ac:dyDescent="0.25">
      <c r="A504" s="1" t="str">
        <f t="shared" si="7"/>
        <v>quinta-feira</v>
      </c>
      <c r="B504" s="108">
        <v>43846</v>
      </c>
      <c r="C504" s="109">
        <v>2</v>
      </c>
    </row>
    <row r="505" spans="1:3" x14ac:dyDescent="0.25">
      <c r="A505" s="1" t="str">
        <f t="shared" si="7"/>
        <v>sexta-feira</v>
      </c>
      <c r="B505" s="108">
        <v>43847</v>
      </c>
      <c r="C505" s="109">
        <v>2</v>
      </c>
    </row>
    <row r="506" spans="1:3" x14ac:dyDescent="0.25">
      <c r="A506" s="1" t="str">
        <f t="shared" si="7"/>
        <v>sábado</v>
      </c>
      <c r="B506" s="108">
        <v>43848</v>
      </c>
      <c r="C506" s="109">
        <v>2</v>
      </c>
    </row>
    <row r="507" spans="1:3" x14ac:dyDescent="0.25">
      <c r="A507" s="1" t="str">
        <f t="shared" si="7"/>
        <v>domingo</v>
      </c>
      <c r="B507" s="108">
        <v>43849</v>
      </c>
      <c r="C507" s="109">
        <v>2</v>
      </c>
    </row>
    <row r="508" spans="1:3" x14ac:dyDescent="0.25">
      <c r="A508" s="1" t="str">
        <f t="shared" si="7"/>
        <v>segunda-feira</v>
      </c>
      <c r="B508" s="108">
        <v>43850</v>
      </c>
      <c r="C508" s="109">
        <v>2</v>
      </c>
    </row>
    <row r="509" spans="1:3" x14ac:dyDescent="0.25">
      <c r="A509" s="1" t="str">
        <f t="shared" ref="A509:A572" si="8">TEXT(B509,"dddd")</f>
        <v>terça-feira</v>
      </c>
      <c r="B509" s="108">
        <v>43851</v>
      </c>
      <c r="C509" s="109">
        <v>2</v>
      </c>
    </row>
    <row r="510" spans="1:3" x14ac:dyDescent="0.25">
      <c r="A510" s="1" t="str">
        <f t="shared" si="8"/>
        <v>quarta-feira</v>
      </c>
      <c r="B510" s="108">
        <v>43852</v>
      </c>
      <c r="C510" s="109">
        <v>2</v>
      </c>
    </row>
    <row r="511" spans="1:3" x14ac:dyDescent="0.25">
      <c r="A511" s="1" t="str">
        <f t="shared" si="8"/>
        <v>quinta-feira</v>
      </c>
      <c r="B511" s="108">
        <v>43853</v>
      </c>
      <c r="C511" s="109">
        <v>2</v>
      </c>
    </row>
    <row r="512" spans="1:3" x14ac:dyDescent="0.25">
      <c r="A512" s="1" t="str">
        <f t="shared" si="8"/>
        <v>sexta-feira</v>
      </c>
      <c r="B512" s="108">
        <v>43854</v>
      </c>
      <c r="C512" s="109">
        <v>2</v>
      </c>
    </row>
    <row r="513" spans="1:3" x14ac:dyDescent="0.25">
      <c r="A513" s="1" t="str">
        <f t="shared" si="8"/>
        <v>sábado</v>
      </c>
      <c r="B513" s="108">
        <v>43855</v>
      </c>
      <c r="C513" s="109">
        <v>2</v>
      </c>
    </row>
    <row r="514" spans="1:3" x14ac:dyDescent="0.25">
      <c r="A514" s="1" t="str">
        <f t="shared" si="8"/>
        <v>domingo</v>
      </c>
      <c r="B514" s="108">
        <v>43856</v>
      </c>
      <c r="C514" s="109">
        <v>2</v>
      </c>
    </row>
    <row r="515" spans="1:3" x14ac:dyDescent="0.25">
      <c r="A515" s="1" t="str">
        <f t="shared" si="8"/>
        <v>segunda-feira</v>
      </c>
      <c r="B515" s="108">
        <v>43857</v>
      </c>
      <c r="C515" s="109">
        <v>2</v>
      </c>
    </row>
    <row r="516" spans="1:3" x14ac:dyDescent="0.25">
      <c r="A516" s="1" t="str">
        <f t="shared" si="8"/>
        <v>terça-feira</v>
      </c>
      <c r="B516" s="108">
        <v>43858</v>
      </c>
      <c r="C516" s="109">
        <v>2</v>
      </c>
    </row>
    <row r="517" spans="1:3" x14ac:dyDescent="0.25">
      <c r="A517" s="1" t="str">
        <f t="shared" si="8"/>
        <v>quarta-feira</v>
      </c>
      <c r="B517" s="108">
        <v>43859</v>
      </c>
      <c r="C517" s="109">
        <v>2</v>
      </c>
    </row>
    <row r="518" spans="1:3" x14ac:dyDescent="0.25">
      <c r="A518" s="1" t="str">
        <f t="shared" si="8"/>
        <v>quinta-feira</v>
      </c>
      <c r="B518" s="108">
        <v>43860</v>
      </c>
      <c r="C518" s="109">
        <v>2</v>
      </c>
    </row>
    <row r="519" spans="1:3" x14ac:dyDescent="0.25">
      <c r="A519" s="1" t="str">
        <f t="shared" si="8"/>
        <v>sexta-feira</v>
      </c>
      <c r="B519" s="108">
        <v>43861</v>
      </c>
      <c r="C519" s="109">
        <v>2</v>
      </c>
    </row>
    <row r="520" spans="1:3" x14ac:dyDescent="0.25">
      <c r="A520" s="1" t="str">
        <f t="shared" si="8"/>
        <v>sábado</v>
      </c>
      <c r="B520" s="108">
        <v>43862</v>
      </c>
      <c r="C520" s="109">
        <v>2</v>
      </c>
    </row>
    <row r="521" spans="1:3" x14ac:dyDescent="0.25">
      <c r="A521" s="1" t="str">
        <f t="shared" si="8"/>
        <v>domingo</v>
      </c>
      <c r="B521" s="108">
        <v>43863</v>
      </c>
      <c r="C521" s="109">
        <v>2</v>
      </c>
    </row>
    <row r="522" spans="1:3" x14ac:dyDescent="0.25">
      <c r="A522" s="1" t="str">
        <f t="shared" si="8"/>
        <v>segunda-feira</v>
      </c>
      <c r="B522" s="108">
        <v>43864</v>
      </c>
      <c r="C522" s="109">
        <v>2</v>
      </c>
    </row>
    <row r="523" spans="1:3" x14ac:dyDescent="0.25">
      <c r="A523" s="1" t="str">
        <f t="shared" si="8"/>
        <v>terça-feira</v>
      </c>
      <c r="B523" s="108">
        <v>43865</v>
      </c>
      <c r="C523" s="109">
        <v>2</v>
      </c>
    </row>
    <row r="524" spans="1:3" x14ac:dyDescent="0.25">
      <c r="A524" s="1" t="str">
        <f t="shared" si="8"/>
        <v>quarta-feira</v>
      </c>
      <c r="B524" s="108">
        <v>43866</v>
      </c>
      <c r="C524" s="109">
        <v>2</v>
      </c>
    </row>
    <row r="525" spans="1:3" x14ac:dyDescent="0.25">
      <c r="A525" s="1" t="str">
        <f t="shared" si="8"/>
        <v>quinta-feira</v>
      </c>
      <c r="B525" s="108">
        <v>43867</v>
      </c>
      <c r="C525" s="109">
        <v>2</v>
      </c>
    </row>
    <row r="526" spans="1:3" x14ac:dyDescent="0.25">
      <c r="A526" s="1" t="str">
        <f t="shared" si="8"/>
        <v>sexta-feira</v>
      </c>
      <c r="B526" s="108">
        <v>43868</v>
      </c>
      <c r="C526" s="109">
        <v>2</v>
      </c>
    </row>
    <row r="527" spans="1:3" x14ac:dyDescent="0.25">
      <c r="A527" s="1" t="str">
        <f t="shared" si="8"/>
        <v>sábado</v>
      </c>
      <c r="B527" s="108">
        <v>43869</v>
      </c>
      <c r="C527" s="109">
        <v>2</v>
      </c>
    </row>
    <row r="528" spans="1:3" x14ac:dyDescent="0.25">
      <c r="A528" s="1" t="str">
        <f t="shared" si="8"/>
        <v>domingo</v>
      </c>
      <c r="B528" s="108">
        <v>43870</v>
      </c>
      <c r="C528" s="109">
        <v>2</v>
      </c>
    </row>
    <row r="529" spans="1:3" x14ac:dyDescent="0.25">
      <c r="A529" s="1" t="str">
        <f t="shared" si="8"/>
        <v>segunda-feira</v>
      </c>
      <c r="B529" s="108">
        <v>43871</v>
      </c>
      <c r="C529" s="109">
        <v>2</v>
      </c>
    </row>
    <row r="530" spans="1:3" x14ac:dyDescent="0.25">
      <c r="A530" s="1" t="str">
        <f t="shared" si="8"/>
        <v>terça-feira</v>
      </c>
      <c r="B530" s="108">
        <v>43872</v>
      </c>
      <c r="C530" s="109">
        <v>2</v>
      </c>
    </row>
    <row r="531" spans="1:3" x14ac:dyDescent="0.25">
      <c r="A531" s="1" t="str">
        <f t="shared" si="8"/>
        <v>quarta-feira</v>
      </c>
      <c r="B531" s="108">
        <v>43873</v>
      </c>
      <c r="C531" s="109">
        <v>2</v>
      </c>
    </row>
    <row r="532" spans="1:3" x14ac:dyDescent="0.25">
      <c r="A532" s="1" t="str">
        <f t="shared" si="8"/>
        <v>quinta-feira</v>
      </c>
      <c r="B532" s="108">
        <v>43874</v>
      </c>
      <c r="C532" s="109">
        <v>2</v>
      </c>
    </row>
    <row r="533" spans="1:3" x14ac:dyDescent="0.25">
      <c r="A533" s="1" t="str">
        <f t="shared" si="8"/>
        <v>sexta-feira</v>
      </c>
      <c r="B533" s="108">
        <v>43875</v>
      </c>
      <c r="C533" s="109">
        <v>2</v>
      </c>
    </row>
    <row r="534" spans="1:3" x14ac:dyDescent="0.25">
      <c r="A534" s="1" t="str">
        <f t="shared" si="8"/>
        <v>sábado</v>
      </c>
      <c r="B534" s="108">
        <v>43876</v>
      </c>
      <c r="C534" s="109">
        <v>2</v>
      </c>
    </row>
    <row r="535" spans="1:3" x14ac:dyDescent="0.25">
      <c r="A535" s="1" t="str">
        <f t="shared" si="8"/>
        <v>domingo</v>
      </c>
      <c r="B535" s="108">
        <v>43877</v>
      </c>
      <c r="C535" s="109">
        <v>2</v>
      </c>
    </row>
    <row r="536" spans="1:3" x14ac:dyDescent="0.25">
      <c r="A536" s="1" t="str">
        <f t="shared" si="8"/>
        <v>segunda-feira</v>
      </c>
      <c r="B536" s="108">
        <v>43878</v>
      </c>
      <c r="C536" s="109">
        <v>2</v>
      </c>
    </row>
    <row r="537" spans="1:3" x14ac:dyDescent="0.25">
      <c r="A537" s="1" t="str">
        <f t="shared" si="8"/>
        <v>terça-feira</v>
      </c>
      <c r="B537" s="108">
        <v>43879</v>
      </c>
      <c r="C537" s="109">
        <v>2</v>
      </c>
    </row>
    <row r="538" spans="1:3" x14ac:dyDescent="0.25">
      <c r="A538" s="1" t="str">
        <f t="shared" si="8"/>
        <v>quarta-feira</v>
      </c>
      <c r="B538" s="108">
        <v>43880</v>
      </c>
      <c r="C538" s="109">
        <v>2</v>
      </c>
    </row>
    <row r="539" spans="1:3" x14ac:dyDescent="0.25">
      <c r="A539" s="1" t="str">
        <f t="shared" si="8"/>
        <v>quinta-feira</v>
      </c>
      <c r="B539" s="108">
        <v>43881</v>
      </c>
      <c r="C539" s="109">
        <v>2</v>
      </c>
    </row>
    <row r="540" spans="1:3" x14ac:dyDescent="0.25">
      <c r="A540" s="1" t="str">
        <f t="shared" si="8"/>
        <v>sexta-feira</v>
      </c>
      <c r="B540" s="108">
        <v>43882</v>
      </c>
      <c r="C540" s="109">
        <v>2</v>
      </c>
    </row>
    <row r="541" spans="1:3" x14ac:dyDescent="0.25">
      <c r="A541" s="1" t="str">
        <f t="shared" si="8"/>
        <v>sábado</v>
      </c>
      <c r="B541" s="108">
        <v>43883</v>
      </c>
      <c r="C541" s="109">
        <v>2</v>
      </c>
    </row>
    <row r="542" spans="1:3" x14ac:dyDescent="0.25">
      <c r="A542" s="1" t="str">
        <f t="shared" si="8"/>
        <v>domingo</v>
      </c>
      <c r="B542" s="108">
        <v>43884</v>
      </c>
      <c r="C542" s="109">
        <v>2</v>
      </c>
    </row>
    <row r="543" spans="1:3" x14ac:dyDescent="0.25">
      <c r="A543" s="1" t="str">
        <f t="shared" si="8"/>
        <v>segunda-feira</v>
      </c>
      <c r="B543" s="108">
        <v>43885</v>
      </c>
      <c r="C543" s="109">
        <v>2</v>
      </c>
    </row>
    <row r="544" spans="1:3" x14ac:dyDescent="0.25">
      <c r="A544" s="1" t="str">
        <f t="shared" si="8"/>
        <v>terça-feira</v>
      </c>
      <c r="B544" s="108">
        <v>43886</v>
      </c>
      <c r="C544" s="109">
        <v>2</v>
      </c>
    </row>
    <row r="545" spans="1:3" x14ac:dyDescent="0.25">
      <c r="A545" s="1" t="str">
        <f t="shared" si="8"/>
        <v>quarta-feira</v>
      </c>
      <c r="B545" s="108">
        <v>43887</v>
      </c>
      <c r="C545" s="109">
        <v>2</v>
      </c>
    </row>
    <row r="546" spans="1:3" x14ac:dyDescent="0.25">
      <c r="A546" s="1" t="str">
        <f t="shared" si="8"/>
        <v>quinta-feira</v>
      </c>
      <c r="B546" s="108">
        <v>43888</v>
      </c>
      <c r="C546" s="109">
        <v>2</v>
      </c>
    </row>
    <row r="547" spans="1:3" x14ac:dyDescent="0.25">
      <c r="A547" s="1" t="str">
        <f t="shared" si="8"/>
        <v>sexta-feira</v>
      </c>
      <c r="B547" s="108">
        <v>43889</v>
      </c>
      <c r="C547" s="109">
        <v>2</v>
      </c>
    </row>
    <row r="548" spans="1:3" x14ac:dyDescent="0.25">
      <c r="A548" s="1" t="str">
        <f t="shared" si="8"/>
        <v>sábado</v>
      </c>
      <c r="B548" s="108">
        <v>43890</v>
      </c>
      <c r="C548" s="109">
        <v>2</v>
      </c>
    </row>
    <row r="549" spans="1:3" x14ac:dyDescent="0.25">
      <c r="A549" s="1" t="str">
        <f t="shared" si="8"/>
        <v>domingo</v>
      </c>
      <c r="B549" s="108">
        <v>43891</v>
      </c>
      <c r="C549" s="109">
        <v>2</v>
      </c>
    </row>
    <row r="550" spans="1:3" x14ac:dyDescent="0.25">
      <c r="A550" s="1" t="str">
        <f t="shared" si="8"/>
        <v>segunda-feira</v>
      </c>
      <c r="B550" s="108">
        <v>43892</v>
      </c>
      <c r="C550" s="109">
        <v>2</v>
      </c>
    </row>
    <row r="551" spans="1:3" x14ac:dyDescent="0.25">
      <c r="A551" s="1" t="str">
        <f t="shared" si="8"/>
        <v>terça-feira</v>
      </c>
      <c r="B551" s="108">
        <v>43893</v>
      </c>
      <c r="C551" s="109">
        <v>2</v>
      </c>
    </row>
    <row r="552" spans="1:3" x14ac:dyDescent="0.25">
      <c r="A552" s="1" t="str">
        <f t="shared" si="8"/>
        <v>quarta-feira</v>
      </c>
      <c r="B552" s="108">
        <v>43894</v>
      </c>
      <c r="C552" s="109">
        <v>2</v>
      </c>
    </row>
    <row r="553" spans="1:3" x14ac:dyDescent="0.25">
      <c r="A553" s="1" t="str">
        <f t="shared" si="8"/>
        <v>quinta-feira</v>
      </c>
      <c r="B553" s="108">
        <v>43895</v>
      </c>
      <c r="C553" s="109">
        <v>2</v>
      </c>
    </row>
    <row r="554" spans="1:3" x14ac:dyDescent="0.25">
      <c r="A554" s="1" t="str">
        <f t="shared" si="8"/>
        <v>sexta-feira</v>
      </c>
      <c r="B554" s="108">
        <v>43896</v>
      </c>
      <c r="C554" s="109">
        <v>2</v>
      </c>
    </row>
    <row r="555" spans="1:3" x14ac:dyDescent="0.25">
      <c r="A555" s="1" t="str">
        <f t="shared" si="8"/>
        <v>sábado</v>
      </c>
      <c r="B555" s="108">
        <v>43897</v>
      </c>
      <c r="C555" s="109">
        <v>2</v>
      </c>
    </row>
    <row r="556" spans="1:3" x14ac:dyDescent="0.25">
      <c r="A556" s="1" t="str">
        <f t="shared" si="8"/>
        <v>domingo</v>
      </c>
      <c r="B556" s="108">
        <v>43898</v>
      </c>
      <c r="C556" s="109">
        <v>2</v>
      </c>
    </row>
    <row r="557" spans="1:3" x14ac:dyDescent="0.25">
      <c r="A557" s="1" t="str">
        <f t="shared" si="8"/>
        <v>segunda-feira</v>
      </c>
      <c r="B557" s="108">
        <v>43899</v>
      </c>
      <c r="C557" s="109">
        <v>2</v>
      </c>
    </row>
    <row r="558" spans="1:3" x14ac:dyDescent="0.25">
      <c r="A558" s="1" t="str">
        <f t="shared" si="8"/>
        <v>terça-feira</v>
      </c>
      <c r="B558" s="108">
        <v>43900</v>
      </c>
      <c r="C558" s="109">
        <v>2</v>
      </c>
    </row>
    <row r="559" spans="1:3" x14ac:dyDescent="0.25">
      <c r="A559" s="1" t="str">
        <f t="shared" si="8"/>
        <v>quarta-feira</v>
      </c>
      <c r="B559" s="108">
        <v>43901</v>
      </c>
      <c r="C559" s="109">
        <v>2</v>
      </c>
    </row>
    <row r="560" spans="1:3" x14ac:dyDescent="0.25">
      <c r="A560" s="1" t="str">
        <f t="shared" si="8"/>
        <v>quinta-feira</v>
      </c>
      <c r="B560" s="108">
        <v>43902</v>
      </c>
      <c r="C560" s="109">
        <v>2</v>
      </c>
    </row>
    <row r="561" spans="1:3" x14ac:dyDescent="0.25">
      <c r="A561" s="1" t="str">
        <f t="shared" si="8"/>
        <v>sexta-feira</v>
      </c>
      <c r="B561" s="108">
        <v>43903</v>
      </c>
      <c r="C561" s="109">
        <v>2</v>
      </c>
    </row>
    <row r="562" spans="1:3" x14ac:dyDescent="0.25">
      <c r="A562" s="1" t="str">
        <f t="shared" si="8"/>
        <v>sábado</v>
      </c>
      <c r="B562" s="108">
        <v>43904</v>
      </c>
      <c r="C562" s="109">
        <v>2</v>
      </c>
    </row>
    <row r="563" spans="1:3" x14ac:dyDescent="0.25">
      <c r="A563" s="1" t="str">
        <f t="shared" si="8"/>
        <v>domingo</v>
      </c>
      <c r="B563" s="108">
        <v>43905</v>
      </c>
      <c r="C563" s="109">
        <v>2</v>
      </c>
    </row>
    <row r="564" spans="1:3" x14ac:dyDescent="0.25">
      <c r="A564" s="1" t="str">
        <f t="shared" si="8"/>
        <v>segunda-feira</v>
      </c>
      <c r="B564" s="108">
        <v>43906</v>
      </c>
      <c r="C564" s="109">
        <v>2</v>
      </c>
    </row>
    <row r="565" spans="1:3" x14ac:dyDescent="0.25">
      <c r="A565" s="1" t="str">
        <f t="shared" si="8"/>
        <v>terça-feira</v>
      </c>
      <c r="B565" s="108">
        <v>43907</v>
      </c>
      <c r="C565" s="109">
        <v>2</v>
      </c>
    </row>
    <row r="566" spans="1:3" x14ac:dyDescent="0.25">
      <c r="A566" s="1" t="str">
        <f t="shared" si="8"/>
        <v>quarta-feira</v>
      </c>
      <c r="B566" s="108">
        <v>43908</v>
      </c>
      <c r="C566" s="109">
        <v>2</v>
      </c>
    </row>
    <row r="567" spans="1:3" x14ac:dyDescent="0.25">
      <c r="A567" s="1" t="str">
        <f t="shared" si="8"/>
        <v>quinta-feira</v>
      </c>
      <c r="B567" s="108">
        <v>43909</v>
      </c>
      <c r="C567" s="109">
        <v>2</v>
      </c>
    </row>
    <row r="568" spans="1:3" x14ac:dyDescent="0.25">
      <c r="A568" s="1" t="str">
        <f t="shared" si="8"/>
        <v>sexta-feira</v>
      </c>
      <c r="B568" s="108">
        <v>43910</v>
      </c>
      <c r="C568" s="109">
        <v>2</v>
      </c>
    </row>
    <row r="569" spans="1:3" x14ac:dyDescent="0.25">
      <c r="A569" s="1" t="str">
        <f t="shared" si="8"/>
        <v>sábado</v>
      </c>
      <c r="B569" s="108">
        <v>43911</v>
      </c>
      <c r="C569" s="109">
        <v>2</v>
      </c>
    </row>
    <row r="570" spans="1:3" x14ac:dyDescent="0.25">
      <c r="A570" s="1" t="str">
        <f t="shared" si="8"/>
        <v>domingo</v>
      </c>
      <c r="B570" s="108">
        <v>43912</v>
      </c>
      <c r="C570" s="109">
        <v>2</v>
      </c>
    </row>
    <row r="571" spans="1:3" x14ac:dyDescent="0.25">
      <c r="A571" s="1" t="str">
        <f t="shared" si="8"/>
        <v>segunda-feira</v>
      </c>
      <c r="B571" s="108">
        <v>43913</v>
      </c>
      <c r="C571" s="109">
        <v>2</v>
      </c>
    </row>
    <row r="572" spans="1:3" x14ac:dyDescent="0.25">
      <c r="A572" s="1" t="str">
        <f t="shared" si="8"/>
        <v>terça-feira</v>
      </c>
      <c r="B572" s="108">
        <v>43914</v>
      </c>
      <c r="C572" s="109">
        <v>2</v>
      </c>
    </row>
    <row r="573" spans="1:3" x14ac:dyDescent="0.25">
      <c r="A573" s="1" t="str">
        <f t="shared" ref="A573:A636" si="9">TEXT(B573,"dddd")</f>
        <v>quarta-feira</v>
      </c>
      <c r="B573" s="108">
        <v>43915</v>
      </c>
      <c r="C573" s="109">
        <v>2</v>
      </c>
    </row>
    <row r="574" spans="1:3" x14ac:dyDescent="0.25">
      <c r="A574" s="1" t="str">
        <f t="shared" si="9"/>
        <v>quinta-feira</v>
      </c>
      <c r="B574" s="108">
        <v>43916</v>
      </c>
      <c r="C574" s="109">
        <v>2</v>
      </c>
    </row>
    <row r="575" spans="1:3" x14ac:dyDescent="0.25">
      <c r="A575" s="1" t="str">
        <f t="shared" si="9"/>
        <v>sexta-feira</v>
      </c>
      <c r="B575" s="108">
        <v>43917</v>
      </c>
      <c r="C575" s="109">
        <v>2</v>
      </c>
    </row>
    <row r="576" spans="1:3" x14ac:dyDescent="0.25">
      <c r="A576" s="1" t="str">
        <f t="shared" si="9"/>
        <v>sábado</v>
      </c>
      <c r="B576" s="108">
        <v>43918</v>
      </c>
      <c r="C576" s="109">
        <v>2</v>
      </c>
    </row>
    <row r="577" spans="1:3" x14ac:dyDescent="0.25">
      <c r="A577" s="1" t="str">
        <f t="shared" si="9"/>
        <v>domingo</v>
      </c>
      <c r="B577" s="108">
        <v>43919</v>
      </c>
      <c r="C577" s="109">
        <v>2</v>
      </c>
    </row>
    <row r="578" spans="1:3" x14ac:dyDescent="0.25">
      <c r="A578" s="1" t="str">
        <f t="shared" si="9"/>
        <v>segunda-feira</v>
      </c>
      <c r="B578" s="108">
        <v>43920</v>
      </c>
      <c r="C578" s="109">
        <v>2</v>
      </c>
    </row>
    <row r="579" spans="1:3" x14ac:dyDescent="0.25">
      <c r="A579" s="1" t="str">
        <f t="shared" si="9"/>
        <v>terça-feira</v>
      </c>
      <c r="B579" s="108">
        <v>43921</v>
      </c>
      <c r="C579" s="109">
        <v>2</v>
      </c>
    </row>
    <row r="580" spans="1:3" x14ac:dyDescent="0.25">
      <c r="A580" s="1" t="str">
        <f t="shared" si="9"/>
        <v>quarta-feira</v>
      </c>
      <c r="B580" s="108">
        <v>43922</v>
      </c>
      <c r="C580" s="109">
        <v>2</v>
      </c>
    </row>
    <row r="581" spans="1:3" x14ac:dyDescent="0.25">
      <c r="A581" s="1" t="str">
        <f t="shared" si="9"/>
        <v>quinta-feira</v>
      </c>
      <c r="B581" s="108">
        <v>43923</v>
      </c>
      <c r="C581" s="109">
        <v>2</v>
      </c>
    </row>
    <row r="582" spans="1:3" x14ac:dyDescent="0.25">
      <c r="A582" s="1" t="str">
        <f t="shared" si="9"/>
        <v>sexta-feira</v>
      </c>
      <c r="B582" s="108">
        <v>43924</v>
      </c>
      <c r="C582" s="109">
        <v>2</v>
      </c>
    </row>
    <row r="583" spans="1:3" x14ac:dyDescent="0.25">
      <c r="A583" s="1" t="str">
        <f t="shared" si="9"/>
        <v>sábado</v>
      </c>
      <c r="B583" s="108">
        <v>43925</v>
      </c>
      <c r="C583" s="109">
        <v>2</v>
      </c>
    </row>
    <row r="584" spans="1:3" x14ac:dyDescent="0.25">
      <c r="A584" s="1" t="str">
        <f t="shared" si="9"/>
        <v>domingo</v>
      </c>
      <c r="B584" s="108">
        <v>43926</v>
      </c>
      <c r="C584" s="109">
        <v>2</v>
      </c>
    </row>
    <row r="585" spans="1:3" x14ac:dyDescent="0.25">
      <c r="A585" s="1" t="str">
        <f t="shared" si="9"/>
        <v>segunda-feira</v>
      </c>
      <c r="B585" s="108">
        <v>43927</v>
      </c>
      <c r="C585" s="109">
        <v>2</v>
      </c>
    </row>
    <row r="586" spans="1:3" x14ac:dyDescent="0.25">
      <c r="A586" s="1" t="str">
        <f t="shared" si="9"/>
        <v>terça-feira</v>
      </c>
      <c r="B586" s="108">
        <v>43928</v>
      </c>
      <c r="C586" s="109">
        <v>2</v>
      </c>
    </row>
    <row r="587" spans="1:3" x14ac:dyDescent="0.25">
      <c r="A587" s="1" t="str">
        <f t="shared" si="9"/>
        <v>quarta-feira</v>
      </c>
      <c r="B587" s="108">
        <v>43929</v>
      </c>
      <c r="C587" s="109">
        <v>2</v>
      </c>
    </row>
    <row r="588" spans="1:3" x14ac:dyDescent="0.25">
      <c r="A588" s="1" t="str">
        <f t="shared" si="9"/>
        <v>quinta-feira</v>
      </c>
      <c r="B588" s="108">
        <v>43930</v>
      </c>
      <c r="C588" s="109">
        <v>2</v>
      </c>
    </row>
    <row r="589" spans="1:3" x14ac:dyDescent="0.25">
      <c r="A589" s="1" t="str">
        <f t="shared" si="9"/>
        <v>sexta-feira</v>
      </c>
      <c r="B589" s="108">
        <v>43931</v>
      </c>
      <c r="C589" s="109">
        <v>2</v>
      </c>
    </row>
    <row r="590" spans="1:3" x14ac:dyDescent="0.25">
      <c r="A590" s="1" t="str">
        <f t="shared" si="9"/>
        <v>sábado</v>
      </c>
      <c r="B590" s="108">
        <v>43932</v>
      </c>
      <c r="C590" s="109">
        <v>2</v>
      </c>
    </row>
    <row r="591" spans="1:3" x14ac:dyDescent="0.25">
      <c r="A591" s="1" t="str">
        <f t="shared" si="9"/>
        <v>domingo</v>
      </c>
      <c r="B591" s="108">
        <v>43933</v>
      </c>
      <c r="C591" s="109">
        <v>2</v>
      </c>
    </row>
    <row r="592" spans="1:3" x14ac:dyDescent="0.25">
      <c r="A592" s="1" t="str">
        <f t="shared" si="9"/>
        <v>segunda-feira</v>
      </c>
      <c r="B592" s="108">
        <v>43934</v>
      </c>
      <c r="C592" s="109">
        <v>2</v>
      </c>
    </row>
    <row r="593" spans="1:3" x14ac:dyDescent="0.25">
      <c r="A593" s="1" t="str">
        <f t="shared" si="9"/>
        <v>terça-feira</v>
      </c>
      <c r="B593" s="108">
        <v>43935</v>
      </c>
      <c r="C593" s="109">
        <v>2</v>
      </c>
    </row>
    <row r="594" spans="1:3" x14ac:dyDescent="0.25">
      <c r="A594" s="1" t="str">
        <f t="shared" si="9"/>
        <v>quarta-feira</v>
      </c>
      <c r="B594" s="108">
        <v>43936</v>
      </c>
      <c r="C594" s="109">
        <v>2</v>
      </c>
    </row>
    <row r="595" spans="1:3" x14ac:dyDescent="0.25">
      <c r="A595" s="1" t="str">
        <f t="shared" si="9"/>
        <v>quinta-feira</v>
      </c>
      <c r="B595" s="108">
        <v>43937</v>
      </c>
      <c r="C595" s="109">
        <v>2</v>
      </c>
    </row>
    <row r="596" spans="1:3" x14ac:dyDescent="0.25">
      <c r="A596" s="1" t="str">
        <f t="shared" si="9"/>
        <v>sexta-feira</v>
      </c>
      <c r="B596" s="108">
        <v>43938</v>
      </c>
      <c r="C596" s="109">
        <v>2</v>
      </c>
    </row>
    <row r="597" spans="1:3" x14ac:dyDescent="0.25">
      <c r="A597" s="1" t="str">
        <f t="shared" si="9"/>
        <v>sábado</v>
      </c>
      <c r="B597" s="108">
        <v>43939</v>
      </c>
      <c r="C597" s="109">
        <v>2</v>
      </c>
    </row>
    <row r="598" spans="1:3" x14ac:dyDescent="0.25">
      <c r="A598" s="1" t="str">
        <f t="shared" si="9"/>
        <v>domingo</v>
      </c>
      <c r="B598" s="108">
        <v>43940</v>
      </c>
      <c r="C598" s="109">
        <v>2</v>
      </c>
    </row>
    <row r="599" spans="1:3" x14ac:dyDescent="0.25">
      <c r="A599" s="1" t="str">
        <f t="shared" si="9"/>
        <v>segunda-feira</v>
      </c>
      <c r="B599" s="108">
        <v>43941</v>
      </c>
      <c r="C599" s="109">
        <v>2</v>
      </c>
    </row>
    <row r="600" spans="1:3" x14ac:dyDescent="0.25">
      <c r="A600" s="1" t="str">
        <f t="shared" si="9"/>
        <v>terça-feira</v>
      </c>
      <c r="B600" s="108">
        <v>43942</v>
      </c>
      <c r="C600" s="109">
        <v>2</v>
      </c>
    </row>
    <row r="601" spans="1:3" x14ac:dyDescent="0.25">
      <c r="A601" s="1" t="str">
        <f t="shared" si="9"/>
        <v>quarta-feira</v>
      </c>
      <c r="B601" s="108">
        <v>43943</v>
      </c>
      <c r="C601" s="109">
        <v>2</v>
      </c>
    </row>
    <row r="602" spans="1:3" x14ac:dyDescent="0.25">
      <c r="A602" s="1" t="str">
        <f t="shared" si="9"/>
        <v>quinta-feira</v>
      </c>
      <c r="B602" s="108">
        <v>43944</v>
      </c>
      <c r="C602" s="109">
        <v>2</v>
      </c>
    </row>
    <row r="603" spans="1:3" x14ac:dyDescent="0.25">
      <c r="A603" s="1" t="str">
        <f t="shared" si="9"/>
        <v>sexta-feira</v>
      </c>
      <c r="B603" s="108">
        <v>43945</v>
      </c>
      <c r="C603" s="109">
        <v>2</v>
      </c>
    </row>
    <row r="604" spans="1:3" x14ac:dyDescent="0.25">
      <c r="A604" s="1" t="str">
        <f t="shared" si="9"/>
        <v>sábado</v>
      </c>
      <c r="B604" s="108">
        <v>43946</v>
      </c>
      <c r="C604" s="109">
        <v>2</v>
      </c>
    </row>
    <row r="605" spans="1:3" x14ac:dyDescent="0.25">
      <c r="A605" s="1" t="str">
        <f t="shared" si="9"/>
        <v>domingo</v>
      </c>
      <c r="B605" s="108">
        <v>43947</v>
      </c>
      <c r="C605" s="109">
        <v>2</v>
      </c>
    </row>
    <row r="606" spans="1:3" x14ac:dyDescent="0.25">
      <c r="A606" s="1" t="str">
        <f t="shared" si="9"/>
        <v>segunda-feira</v>
      </c>
      <c r="B606" s="108">
        <v>43948</v>
      </c>
      <c r="C606" s="109">
        <v>2</v>
      </c>
    </row>
    <row r="607" spans="1:3" x14ac:dyDescent="0.25">
      <c r="A607" s="1" t="str">
        <f t="shared" si="9"/>
        <v>terça-feira</v>
      </c>
      <c r="B607" s="108">
        <v>43949</v>
      </c>
      <c r="C607" s="109">
        <v>2</v>
      </c>
    </row>
    <row r="608" spans="1:3" x14ac:dyDescent="0.25">
      <c r="A608" s="1" t="str">
        <f t="shared" si="9"/>
        <v>quarta-feira</v>
      </c>
      <c r="B608" s="108">
        <v>43950</v>
      </c>
      <c r="C608" s="109">
        <v>2</v>
      </c>
    </row>
    <row r="609" spans="1:3" x14ac:dyDescent="0.25">
      <c r="A609" s="1" t="str">
        <f t="shared" si="9"/>
        <v>quinta-feira</v>
      </c>
      <c r="B609" s="108">
        <v>43951</v>
      </c>
      <c r="C609" s="109">
        <v>2</v>
      </c>
    </row>
    <row r="610" spans="1:3" x14ac:dyDescent="0.25">
      <c r="A610" s="1" t="str">
        <f t="shared" si="9"/>
        <v>sexta-feira</v>
      </c>
      <c r="B610" s="108">
        <v>43952</v>
      </c>
      <c r="C610" s="109">
        <v>2</v>
      </c>
    </row>
    <row r="611" spans="1:3" x14ac:dyDescent="0.25">
      <c r="A611" s="1" t="str">
        <f t="shared" si="9"/>
        <v>sábado</v>
      </c>
      <c r="B611" s="108">
        <v>43953</v>
      </c>
      <c r="C611" s="109">
        <v>2</v>
      </c>
    </row>
    <row r="612" spans="1:3" x14ac:dyDescent="0.25">
      <c r="A612" s="1" t="str">
        <f t="shared" si="9"/>
        <v>domingo</v>
      </c>
      <c r="B612" s="108">
        <v>43954</v>
      </c>
      <c r="C612" s="109">
        <v>2</v>
      </c>
    </row>
    <row r="613" spans="1:3" x14ac:dyDescent="0.25">
      <c r="A613" s="1" t="str">
        <f t="shared" si="9"/>
        <v>segunda-feira</v>
      </c>
      <c r="B613" s="108">
        <v>43955</v>
      </c>
      <c r="C613" s="109">
        <v>2</v>
      </c>
    </row>
    <row r="614" spans="1:3" x14ac:dyDescent="0.25">
      <c r="A614" s="1" t="str">
        <f t="shared" si="9"/>
        <v>terça-feira</v>
      </c>
      <c r="B614" s="108">
        <v>43956</v>
      </c>
      <c r="C614" s="109">
        <v>2</v>
      </c>
    </row>
    <row r="615" spans="1:3" x14ac:dyDescent="0.25">
      <c r="A615" s="1" t="str">
        <f t="shared" si="9"/>
        <v>quarta-feira</v>
      </c>
      <c r="B615" s="108">
        <v>43957</v>
      </c>
      <c r="C615" s="109">
        <v>2</v>
      </c>
    </row>
    <row r="616" spans="1:3" x14ac:dyDescent="0.25">
      <c r="A616" s="1" t="str">
        <f t="shared" si="9"/>
        <v>quinta-feira</v>
      </c>
      <c r="B616" s="108">
        <v>43958</v>
      </c>
      <c r="C616" s="109">
        <v>2</v>
      </c>
    </row>
    <row r="617" spans="1:3" x14ac:dyDescent="0.25">
      <c r="A617" s="1" t="str">
        <f t="shared" si="9"/>
        <v>sexta-feira</v>
      </c>
      <c r="B617" s="108">
        <v>43959</v>
      </c>
      <c r="C617" s="109">
        <v>2</v>
      </c>
    </row>
    <row r="618" spans="1:3" x14ac:dyDescent="0.25">
      <c r="A618" s="1" t="str">
        <f t="shared" si="9"/>
        <v>sábado</v>
      </c>
      <c r="B618" s="108">
        <v>43960</v>
      </c>
      <c r="C618" s="109">
        <v>2</v>
      </c>
    </row>
    <row r="619" spans="1:3" x14ac:dyDescent="0.25">
      <c r="A619" s="1" t="str">
        <f t="shared" si="9"/>
        <v>domingo</v>
      </c>
      <c r="B619" s="108">
        <v>43961</v>
      </c>
      <c r="C619" s="109">
        <v>2</v>
      </c>
    </row>
    <row r="620" spans="1:3" x14ac:dyDescent="0.25">
      <c r="A620" s="1" t="str">
        <f t="shared" si="9"/>
        <v>segunda-feira</v>
      </c>
      <c r="B620" s="108">
        <v>43962</v>
      </c>
      <c r="C620" s="109">
        <v>2</v>
      </c>
    </row>
    <row r="621" spans="1:3" x14ac:dyDescent="0.25">
      <c r="A621" s="1" t="str">
        <f t="shared" si="9"/>
        <v>terça-feira</v>
      </c>
      <c r="B621" s="108">
        <v>43963</v>
      </c>
      <c r="C621" s="109">
        <v>2</v>
      </c>
    </row>
    <row r="622" spans="1:3" x14ac:dyDescent="0.25">
      <c r="A622" s="1" t="str">
        <f t="shared" si="9"/>
        <v>quarta-feira</v>
      </c>
      <c r="B622" s="108">
        <v>43964</v>
      </c>
      <c r="C622" s="109">
        <v>2</v>
      </c>
    </row>
    <row r="623" spans="1:3" x14ac:dyDescent="0.25">
      <c r="A623" s="1" t="str">
        <f t="shared" si="9"/>
        <v>quinta-feira</v>
      </c>
      <c r="B623" s="108">
        <v>43965</v>
      </c>
      <c r="C623" s="109">
        <v>2</v>
      </c>
    </row>
    <row r="624" spans="1:3" x14ac:dyDescent="0.25">
      <c r="A624" s="1" t="str">
        <f t="shared" si="9"/>
        <v>sexta-feira</v>
      </c>
      <c r="B624" s="108">
        <v>43966</v>
      </c>
      <c r="C624" s="109">
        <v>2</v>
      </c>
    </row>
    <row r="625" spans="1:3" x14ac:dyDescent="0.25">
      <c r="A625" s="1" t="str">
        <f t="shared" si="9"/>
        <v>sábado</v>
      </c>
      <c r="B625" s="108">
        <v>43967</v>
      </c>
      <c r="C625" s="109">
        <v>2</v>
      </c>
    </row>
    <row r="626" spans="1:3" x14ac:dyDescent="0.25">
      <c r="A626" s="1" t="str">
        <f t="shared" si="9"/>
        <v>domingo</v>
      </c>
      <c r="B626" s="108">
        <v>43968</v>
      </c>
      <c r="C626" s="109">
        <v>2</v>
      </c>
    </row>
    <row r="627" spans="1:3" x14ac:dyDescent="0.25">
      <c r="A627" s="1" t="str">
        <f t="shared" si="9"/>
        <v>segunda-feira</v>
      </c>
      <c r="B627" s="108">
        <v>43969</v>
      </c>
      <c r="C627" s="109">
        <v>2</v>
      </c>
    </row>
    <row r="628" spans="1:3" x14ac:dyDescent="0.25">
      <c r="A628" s="1" t="str">
        <f t="shared" si="9"/>
        <v>terça-feira</v>
      </c>
      <c r="B628" s="108">
        <v>43970</v>
      </c>
      <c r="C628" s="109">
        <v>2</v>
      </c>
    </row>
    <row r="629" spans="1:3" x14ac:dyDescent="0.25">
      <c r="A629" s="1" t="str">
        <f t="shared" si="9"/>
        <v>quarta-feira</v>
      </c>
      <c r="B629" s="108">
        <v>43971</v>
      </c>
      <c r="C629" s="109">
        <v>2</v>
      </c>
    </row>
    <row r="630" spans="1:3" x14ac:dyDescent="0.25">
      <c r="A630" s="1" t="str">
        <f t="shared" si="9"/>
        <v>quinta-feira</v>
      </c>
      <c r="B630" s="108">
        <v>43972</v>
      </c>
      <c r="C630" s="109">
        <v>2</v>
      </c>
    </row>
    <row r="631" spans="1:3" x14ac:dyDescent="0.25">
      <c r="A631" s="1" t="str">
        <f t="shared" si="9"/>
        <v>sexta-feira</v>
      </c>
      <c r="B631" s="108">
        <v>43973</v>
      </c>
      <c r="C631" s="109">
        <v>2</v>
      </c>
    </row>
    <row r="632" spans="1:3" x14ac:dyDescent="0.25">
      <c r="A632" s="1" t="str">
        <f t="shared" si="9"/>
        <v>sábado</v>
      </c>
      <c r="B632" s="108">
        <v>43974</v>
      </c>
      <c r="C632" s="109">
        <v>2</v>
      </c>
    </row>
    <row r="633" spans="1:3" x14ac:dyDescent="0.25">
      <c r="A633" s="1" t="str">
        <f t="shared" si="9"/>
        <v>domingo</v>
      </c>
      <c r="B633" s="108">
        <v>43975</v>
      </c>
      <c r="C633" s="109">
        <v>2</v>
      </c>
    </row>
    <row r="634" spans="1:3" x14ac:dyDescent="0.25">
      <c r="A634" s="1" t="str">
        <f t="shared" si="9"/>
        <v>segunda-feira</v>
      </c>
      <c r="B634" s="108">
        <v>43976</v>
      </c>
      <c r="C634" s="109">
        <v>2</v>
      </c>
    </row>
    <row r="635" spans="1:3" x14ac:dyDescent="0.25">
      <c r="A635" s="1" t="str">
        <f t="shared" si="9"/>
        <v>terça-feira</v>
      </c>
      <c r="B635" s="108">
        <v>43977</v>
      </c>
      <c r="C635" s="109">
        <v>2</v>
      </c>
    </row>
    <row r="636" spans="1:3" x14ac:dyDescent="0.25">
      <c r="A636" s="1" t="str">
        <f t="shared" si="9"/>
        <v>quarta-feira</v>
      </c>
      <c r="B636" s="108">
        <v>43978</v>
      </c>
      <c r="C636" s="109">
        <v>2</v>
      </c>
    </row>
    <row r="637" spans="1:3" x14ac:dyDescent="0.25">
      <c r="A637" s="1" t="str">
        <f t="shared" ref="A637:A700" si="10">TEXT(B637,"dddd")</f>
        <v>quinta-feira</v>
      </c>
      <c r="B637" s="108">
        <v>43979</v>
      </c>
      <c r="C637" s="109">
        <v>2</v>
      </c>
    </row>
    <row r="638" spans="1:3" x14ac:dyDescent="0.25">
      <c r="A638" s="1" t="str">
        <f t="shared" si="10"/>
        <v>sexta-feira</v>
      </c>
      <c r="B638" s="108">
        <v>43980</v>
      </c>
      <c r="C638" s="109">
        <v>2</v>
      </c>
    </row>
    <row r="639" spans="1:3" x14ac:dyDescent="0.25">
      <c r="A639" s="1" t="str">
        <f t="shared" si="10"/>
        <v>sábado</v>
      </c>
      <c r="B639" s="108">
        <v>43981</v>
      </c>
      <c r="C639" s="109">
        <v>2</v>
      </c>
    </row>
    <row r="640" spans="1:3" x14ac:dyDescent="0.25">
      <c r="A640" s="1" t="str">
        <f t="shared" si="10"/>
        <v>domingo</v>
      </c>
      <c r="B640" s="108">
        <v>43982</v>
      </c>
      <c r="C640" s="109">
        <v>2</v>
      </c>
    </row>
    <row r="641" spans="1:3" x14ac:dyDescent="0.25">
      <c r="A641" s="1" t="str">
        <f t="shared" si="10"/>
        <v>segunda-feira</v>
      </c>
      <c r="B641" s="108">
        <v>43983</v>
      </c>
      <c r="C641" s="109">
        <v>2</v>
      </c>
    </row>
    <row r="642" spans="1:3" x14ac:dyDescent="0.25">
      <c r="A642" s="1" t="str">
        <f t="shared" si="10"/>
        <v>terça-feira</v>
      </c>
      <c r="B642" s="108">
        <v>43984</v>
      </c>
      <c r="C642" s="109">
        <v>2</v>
      </c>
    </row>
    <row r="643" spans="1:3" x14ac:dyDescent="0.25">
      <c r="A643" s="1" t="str">
        <f t="shared" si="10"/>
        <v>quarta-feira</v>
      </c>
      <c r="B643" s="108">
        <v>43985</v>
      </c>
      <c r="C643" s="109">
        <v>2</v>
      </c>
    </row>
    <row r="644" spans="1:3" x14ac:dyDescent="0.25">
      <c r="A644" s="1" t="str">
        <f t="shared" si="10"/>
        <v>quinta-feira</v>
      </c>
      <c r="B644" s="108">
        <v>43986</v>
      </c>
      <c r="C644" s="109">
        <v>2</v>
      </c>
    </row>
    <row r="645" spans="1:3" x14ac:dyDescent="0.25">
      <c r="A645" s="1" t="str">
        <f t="shared" si="10"/>
        <v>sexta-feira</v>
      </c>
      <c r="B645" s="108">
        <v>43987</v>
      </c>
      <c r="C645" s="109">
        <v>2</v>
      </c>
    </row>
    <row r="646" spans="1:3" x14ac:dyDescent="0.25">
      <c r="A646" s="1" t="str">
        <f t="shared" si="10"/>
        <v>sábado</v>
      </c>
      <c r="B646" s="108">
        <v>43988</v>
      </c>
      <c r="C646" s="109">
        <v>2</v>
      </c>
    </row>
    <row r="647" spans="1:3" x14ac:dyDescent="0.25">
      <c r="A647" s="1" t="str">
        <f t="shared" si="10"/>
        <v>domingo</v>
      </c>
      <c r="B647" s="108">
        <v>43989</v>
      </c>
      <c r="C647" s="109">
        <v>2</v>
      </c>
    </row>
    <row r="648" spans="1:3" x14ac:dyDescent="0.25">
      <c r="A648" s="1" t="str">
        <f t="shared" si="10"/>
        <v>segunda-feira</v>
      </c>
      <c r="B648" s="108">
        <v>43990</v>
      </c>
      <c r="C648" s="109">
        <v>2</v>
      </c>
    </row>
    <row r="649" spans="1:3" x14ac:dyDescent="0.25">
      <c r="A649" s="1" t="str">
        <f t="shared" si="10"/>
        <v>terça-feira</v>
      </c>
      <c r="B649" s="108">
        <v>43991</v>
      </c>
      <c r="C649" s="109">
        <v>2</v>
      </c>
    </row>
    <row r="650" spans="1:3" x14ac:dyDescent="0.25">
      <c r="A650" s="1" t="str">
        <f t="shared" si="10"/>
        <v>quarta-feira</v>
      </c>
      <c r="B650" s="108">
        <v>43992</v>
      </c>
      <c r="C650" s="109">
        <v>2</v>
      </c>
    </row>
    <row r="651" spans="1:3" x14ac:dyDescent="0.25">
      <c r="A651" s="1" t="str">
        <f t="shared" si="10"/>
        <v>quinta-feira</v>
      </c>
      <c r="B651" s="108">
        <v>43993</v>
      </c>
      <c r="C651" s="109">
        <v>2</v>
      </c>
    </row>
    <row r="652" spans="1:3" x14ac:dyDescent="0.25">
      <c r="A652" s="1" t="str">
        <f t="shared" si="10"/>
        <v>sexta-feira</v>
      </c>
      <c r="B652" s="108">
        <v>43994</v>
      </c>
      <c r="C652" s="109">
        <v>2</v>
      </c>
    </row>
    <row r="653" spans="1:3" x14ac:dyDescent="0.25">
      <c r="A653" s="1" t="str">
        <f t="shared" si="10"/>
        <v>sábado</v>
      </c>
      <c r="B653" s="108">
        <v>43995</v>
      </c>
      <c r="C653" s="109">
        <v>2</v>
      </c>
    </row>
    <row r="654" spans="1:3" x14ac:dyDescent="0.25">
      <c r="A654" s="1" t="str">
        <f t="shared" si="10"/>
        <v>domingo</v>
      </c>
      <c r="B654" s="108">
        <v>43996</v>
      </c>
      <c r="C654" s="109">
        <v>2</v>
      </c>
    </row>
    <row r="655" spans="1:3" x14ac:dyDescent="0.25">
      <c r="A655" s="1" t="str">
        <f t="shared" si="10"/>
        <v>segunda-feira</v>
      </c>
      <c r="B655" s="108">
        <v>43997</v>
      </c>
      <c r="C655" s="109">
        <v>2</v>
      </c>
    </row>
    <row r="656" spans="1:3" x14ac:dyDescent="0.25">
      <c r="A656" s="1" t="str">
        <f t="shared" si="10"/>
        <v>terça-feira</v>
      </c>
      <c r="B656" s="108">
        <v>43998</v>
      </c>
      <c r="C656" s="109">
        <v>2</v>
      </c>
    </row>
    <row r="657" spans="1:3" x14ac:dyDescent="0.25">
      <c r="A657" s="1" t="str">
        <f t="shared" si="10"/>
        <v>quarta-feira</v>
      </c>
      <c r="B657" s="108">
        <v>43999</v>
      </c>
      <c r="C657" s="109">
        <v>2</v>
      </c>
    </row>
    <row r="658" spans="1:3" x14ac:dyDescent="0.25">
      <c r="A658" s="1" t="str">
        <f t="shared" si="10"/>
        <v>quinta-feira</v>
      </c>
      <c r="B658" s="108">
        <v>44000</v>
      </c>
      <c r="C658" s="109">
        <v>2</v>
      </c>
    </row>
    <row r="659" spans="1:3" x14ac:dyDescent="0.25">
      <c r="A659" s="1" t="str">
        <f t="shared" si="10"/>
        <v>sexta-feira</v>
      </c>
      <c r="B659" s="108">
        <v>44001</v>
      </c>
      <c r="C659" s="109">
        <v>2</v>
      </c>
    </row>
    <row r="660" spans="1:3" x14ac:dyDescent="0.25">
      <c r="A660" s="1" t="str">
        <f t="shared" si="10"/>
        <v>sábado</v>
      </c>
      <c r="B660" s="108">
        <v>44002</v>
      </c>
      <c r="C660" s="109">
        <v>2</v>
      </c>
    </row>
    <row r="661" spans="1:3" x14ac:dyDescent="0.25">
      <c r="A661" s="1" t="str">
        <f t="shared" si="10"/>
        <v>domingo</v>
      </c>
      <c r="B661" s="108">
        <v>44003</v>
      </c>
      <c r="C661" s="109">
        <v>2</v>
      </c>
    </row>
    <row r="662" spans="1:3" x14ac:dyDescent="0.25">
      <c r="A662" s="1" t="str">
        <f t="shared" si="10"/>
        <v>segunda-feira</v>
      </c>
      <c r="B662" s="108">
        <v>44004</v>
      </c>
      <c r="C662" s="109">
        <v>2</v>
      </c>
    </row>
    <row r="663" spans="1:3" x14ac:dyDescent="0.25">
      <c r="A663" s="1" t="str">
        <f t="shared" si="10"/>
        <v>terça-feira</v>
      </c>
      <c r="B663" s="108">
        <v>44005</v>
      </c>
      <c r="C663" s="109">
        <v>2</v>
      </c>
    </row>
    <row r="664" spans="1:3" x14ac:dyDescent="0.25">
      <c r="A664" s="1" t="str">
        <f t="shared" si="10"/>
        <v>quarta-feira</v>
      </c>
      <c r="B664" s="108">
        <v>44006</v>
      </c>
      <c r="C664" s="109">
        <v>2</v>
      </c>
    </row>
    <row r="665" spans="1:3" x14ac:dyDescent="0.25">
      <c r="A665" s="1" t="str">
        <f t="shared" si="10"/>
        <v>quinta-feira</v>
      </c>
      <c r="B665" s="108">
        <v>44007</v>
      </c>
      <c r="C665" s="109">
        <v>2</v>
      </c>
    </row>
    <row r="666" spans="1:3" x14ac:dyDescent="0.25">
      <c r="A666" s="1" t="str">
        <f t="shared" si="10"/>
        <v>sexta-feira</v>
      </c>
      <c r="B666" s="108">
        <v>44008</v>
      </c>
      <c r="C666" s="109">
        <v>2</v>
      </c>
    </row>
    <row r="667" spans="1:3" x14ac:dyDescent="0.25">
      <c r="A667" s="1" t="str">
        <f t="shared" si="10"/>
        <v>sábado</v>
      </c>
      <c r="B667" s="108">
        <v>44009</v>
      </c>
      <c r="C667" s="109">
        <v>2</v>
      </c>
    </row>
    <row r="668" spans="1:3" x14ac:dyDescent="0.25">
      <c r="A668" s="1" t="str">
        <f t="shared" si="10"/>
        <v>domingo</v>
      </c>
      <c r="B668" s="108">
        <v>44010</v>
      </c>
      <c r="C668" s="109">
        <v>2</v>
      </c>
    </row>
    <row r="669" spans="1:3" x14ac:dyDescent="0.25">
      <c r="A669" s="1" t="str">
        <f t="shared" si="10"/>
        <v>segunda-feira</v>
      </c>
      <c r="B669" s="108">
        <v>44011</v>
      </c>
      <c r="C669" s="109">
        <v>2</v>
      </c>
    </row>
    <row r="670" spans="1:3" x14ac:dyDescent="0.25">
      <c r="A670" s="1" t="str">
        <f t="shared" si="10"/>
        <v>terça-feira</v>
      </c>
      <c r="B670" s="108">
        <v>44012</v>
      </c>
      <c r="C670" s="109">
        <v>2</v>
      </c>
    </row>
    <row r="671" spans="1:3" x14ac:dyDescent="0.25">
      <c r="A671" s="1" t="str">
        <f t="shared" si="10"/>
        <v>quarta-feira</v>
      </c>
      <c r="B671" s="108">
        <v>44013</v>
      </c>
      <c r="C671" s="109">
        <v>2</v>
      </c>
    </row>
    <row r="672" spans="1:3" x14ac:dyDescent="0.25">
      <c r="A672" s="1" t="str">
        <f t="shared" si="10"/>
        <v>quinta-feira</v>
      </c>
      <c r="B672" s="108">
        <v>44014</v>
      </c>
      <c r="C672" s="109">
        <v>2</v>
      </c>
    </row>
    <row r="673" spans="1:3" x14ac:dyDescent="0.25">
      <c r="A673" s="1" t="str">
        <f t="shared" si="10"/>
        <v>sexta-feira</v>
      </c>
      <c r="B673" s="108">
        <v>44015</v>
      </c>
      <c r="C673" s="109">
        <v>2</v>
      </c>
    </row>
    <row r="674" spans="1:3" x14ac:dyDescent="0.25">
      <c r="A674" s="1" t="str">
        <f t="shared" si="10"/>
        <v>sábado</v>
      </c>
      <c r="B674" s="108">
        <v>44016</v>
      </c>
      <c r="C674" s="109">
        <v>2</v>
      </c>
    </row>
    <row r="675" spans="1:3" x14ac:dyDescent="0.25">
      <c r="A675" s="1" t="str">
        <f t="shared" si="10"/>
        <v>domingo</v>
      </c>
      <c r="B675" s="108">
        <v>44017</v>
      </c>
      <c r="C675" s="109">
        <v>2</v>
      </c>
    </row>
    <row r="676" spans="1:3" x14ac:dyDescent="0.25">
      <c r="A676" s="1" t="str">
        <f t="shared" si="10"/>
        <v>segunda-feira</v>
      </c>
      <c r="B676" s="108">
        <v>44018</v>
      </c>
      <c r="C676" s="109">
        <v>2</v>
      </c>
    </row>
    <row r="677" spans="1:3" x14ac:dyDescent="0.25">
      <c r="A677" s="1" t="str">
        <f t="shared" si="10"/>
        <v>terça-feira</v>
      </c>
      <c r="B677" s="108">
        <v>44019</v>
      </c>
      <c r="C677" s="109">
        <v>2</v>
      </c>
    </row>
    <row r="678" spans="1:3" x14ac:dyDescent="0.25">
      <c r="A678" s="1" t="str">
        <f t="shared" si="10"/>
        <v>quarta-feira</v>
      </c>
      <c r="B678" s="108">
        <v>44020</v>
      </c>
      <c r="C678" s="109">
        <v>2</v>
      </c>
    </row>
    <row r="679" spans="1:3" x14ac:dyDescent="0.25">
      <c r="A679" s="1" t="str">
        <f t="shared" si="10"/>
        <v>quinta-feira</v>
      </c>
      <c r="B679" s="108">
        <v>44021</v>
      </c>
      <c r="C679" s="109">
        <v>2</v>
      </c>
    </row>
    <row r="680" spans="1:3" x14ac:dyDescent="0.25">
      <c r="A680" s="1" t="str">
        <f t="shared" si="10"/>
        <v>sexta-feira</v>
      </c>
      <c r="B680" s="108">
        <v>44022</v>
      </c>
      <c r="C680" s="109">
        <v>2</v>
      </c>
    </row>
    <row r="681" spans="1:3" x14ac:dyDescent="0.25">
      <c r="A681" s="1" t="str">
        <f t="shared" si="10"/>
        <v>sábado</v>
      </c>
      <c r="B681" s="108">
        <v>44023</v>
      </c>
      <c r="C681" s="109">
        <v>2</v>
      </c>
    </row>
    <row r="682" spans="1:3" x14ac:dyDescent="0.25">
      <c r="A682" s="1" t="str">
        <f t="shared" si="10"/>
        <v>domingo</v>
      </c>
      <c r="B682" s="108">
        <v>44024</v>
      </c>
      <c r="C682" s="109">
        <v>2</v>
      </c>
    </row>
    <row r="683" spans="1:3" x14ac:dyDescent="0.25">
      <c r="A683" s="1" t="str">
        <f t="shared" si="10"/>
        <v>segunda-feira</v>
      </c>
      <c r="B683" s="108">
        <v>44025</v>
      </c>
      <c r="C683" s="109">
        <v>2</v>
      </c>
    </row>
    <row r="684" spans="1:3" x14ac:dyDescent="0.25">
      <c r="A684" s="1" t="str">
        <f t="shared" si="10"/>
        <v>terça-feira</v>
      </c>
      <c r="B684" s="108">
        <v>44026</v>
      </c>
      <c r="C684" s="109">
        <v>2</v>
      </c>
    </row>
    <row r="685" spans="1:3" x14ac:dyDescent="0.25">
      <c r="A685" s="1" t="str">
        <f t="shared" si="10"/>
        <v>quarta-feira</v>
      </c>
      <c r="B685" s="108">
        <v>44027</v>
      </c>
      <c r="C685" s="109">
        <v>2</v>
      </c>
    </row>
    <row r="686" spans="1:3" x14ac:dyDescent="0.25">
      <c r="A686" s="1" t="str">
        <f t="shared" si="10"/>
        <v>quinta-feira</v>
      </c>
      <c r="B686" s="108">
        <v>44028</v>
      </c>
      <c r="C686" s="109">
        <v>2</v>
      </c>
    </row>
    <row r="687" spans="1:3" x14ac:dyDescent="0.25">
      <c r="A687" s="1" t="str">
        <f t="shared" si="10"/>
        <v>sexta-feira</v>
      </c>
      <c r="B687" s="108">
        <v>44029</v>
      </c>
      <c r="C687" s="109">
        <v>2</v>
      </c>
    </row>
    <row r="688" spans="1:3" x14ac:dyDescent="0.25">
      <c r="A688" s="1" t="str">
        <f t="shared" si="10"/>
        <v>sábado</v>
      </c>
      <c r="B688" s="108">
        <v>44030</v>
      </c>
      <c r="C688" s="109">
        <v>2</v>
      </c>
    </row>
    <row r="689" spans="1:3" x14ac:dyDescent="0.25">
      <c r="A689" s="1" t="str">
        <f t="shared" si="10"/>
        <v>domingo</v>
      </c>
      <c r="B689" s="108">
        <v>44031</v>
      </c>
      <c r="C689" s="109">
        <v>2</v>
      </c>
    </row>
    <row r="690" spans="1:3" x14ac:dyDescent="0.25">
      <c r="A690" s="1" t="str">
        <f t="shared" si="10"/>
        <v>segunda-feira</v>
      </c>
      <c r="B690" s="108">
        <v>44032</v>
      </c>
      <c r="C690" s="109">
        <v>2</v>
      </c>
    </row>
    <row r="691" spans="1:3" x14ac:dyDescent="0.25">
      <c r="A691" s="1" t="str">
        <f t="shared" si="10"/>
        <v>terça-feira</v>
      </c>
      <c r="B691" s="108">
        <v>44033</v>
      </c>
      <c r="C691" s="109">
        <v>2</v>
      </c>
    </row>
    <row r="692" spans="1:3" x14ac:dyDescent="0.25">
      <c r="A692" s="1" t="str">
        <f t="shared" si="10"/>
        <v>quarta-feira</v>
      </c>
      <c r="B692" s="108">
        <v>44034</v>
      </c>
      <c r="C692" s="109">
        <v>2</v>
      </c>
    </row>
    <row r="693" spans="1:3" x14ac:dyDescent="0.25">
      <c r="A693" s="1" t="str">
        <f t="shared" si="10"/>
        <v>quinta-feira</v>
      </c>
      <c r="B693" s="108">
        <v>44035</v>
      </c>
      <c r="C693" s="109">
        <v>2</v>
      </c>
    </row>
    <row r="694" spans="1:3" x14ac:dyDescent="0.25">
      <c r="A694" s="1" t="str">
        <f t="shared" si="10"/>
        <v>sexta-feira</v>
      </c>
      <c r="B694" s="108">
        <v>44036</v>
      </c>
      <c r="C694" s="109">
        <v>2</v>
      </c>
    </row>
    <row r="695" spans="1:3" x14ac:dyDescent="0.25">
      <c r="A695" s="1" t="str">
        <f t="shared" si="10"/>
        <v>sábado</v>
      </c>
      <c r="B695" s="108">
        <v>44037</v>
      </c>
      <c r="C695" s="109">
        <v>2</v>
      </c>
    </row>
    <row r="696" spans="1:3" x14ac:dyDescent="0.25">
      <c r="A696" s="1" t="str">
        <f t="shared" si="10"/>
        <v>domingo</v>
      </c>
      <c r="B696" s="108">
        <v>44038</v>
      </c>
      <c r="C696" s="109">
        <v>2</v>
      </c>
    </row>
    <row r="697" spans="1:3" x14ac:dyDescent="0.25">
      <c r="A697" s="1" t="str">
        <f t="shared" si="10"/>
        <v>segunda-feira</v>
      </c>
      <c r="B697" s="108">
        <v>44039</v>
      </c>
      <c r="C697" s="109">
        <v>2</v>
      </c>
    </row>
    <row r="698" spans="1:3" x14ac:dyDescent="0.25">
      <c r="A698" s="1" t="str">
        <f t="shared" si="10"/>
        <v>terça-feira</v>
      </c>
      <c r="B698" s="108">
        <v>44040</v>
      </c>
      <c r="C698" s="109">
        <v>2</v>
      </c>
    </row>
    <row r="699" spans="1:3" x14ac:dyDescent="0.25">
      <c r="A699" s="1" t="str">
        <f t="shared" si="10"/>
        <v>quarta-feira</v>
      </c>
      <c r="B699" s="108">
        <v>44041</v>
      </c>
      <c r="C699" s="109">
        <v>2</v>
      </c>
    </row>
    <row r="700" spans="1:3" x14ac:dyDescent="0.25">
      <c r="A700" s="1" t="str">
        <f t="shared" si="10"/>
        <v>quinta-feira</v>
      </c>
      <c r="B700" s="108">
        <v>44042</v>
      </c>
      <c r="C700" s="109">
        <v>2</v>
      </c>
    </row>
    <row r="701" spans="1:3" x14ac:dyDescent="0.25">
      <c r="A701" s="1" t="str">
        <f t="shared" ref="A701:A764" si="11">TEXT(B701,"dddd")</f>
        <v>sexta-feira</v>
      </c>
      <c r="B701" s="108">
        <v>44043</v>
      </c>
      <c r="C701" s="109">
        <v>2</v>
      </c>
    </row>
    <row r="702" spans="1:3" x14ac:dyDescent="0.25">
      <c r="A702" s="1" t="str">
        <f t="shared" si="11"/>
        <v>sábado</v>
      </c>
      <c r="B702" s="108">
        <v>44044</v>
      </c>
      <c r="C702" s="109">
        <v>2</v>
      </c>
    </row>
    <row r="703" spans="1:3" x14ac:dyDescent="0.25">
      <c r="A703" s="1" t="str">
        <f t="shared" si="11"/>
        <v>domingo</v>
      </c>
      <c r="B703" s="108">
        <v>44045</v>
      </c>
      <c r="C703" s="109">
        <v>2</v>
      </c>
    </row>
    <row r="704" spans="1:3" x14ac:dyDescent="0.25">
      <c r="A704" s="1" t="str">
        <f t="shared" si="11"/>
        <v>segunda-feira</v>
      </c>
      <c r="B704" s="108">
        <v>44046</v>
      </c>
      <c r="C704" s="109">
        <v>2</v>
      </c>
    </row>
    <row r="705" spans="1:3" x14ac:dyDescent="0.25">
      <c r="A705" s="1" t="str">
        <f t="shared" si="11"/>
        <v>terça-feira</v>
      </c>
      <c r="B705" s="108">
        <v>44047</v>
      </c>
      <c r="C705" s="109">
        <v>2</v>
      </c>
    </row>
    <row r="706" spans="1:3" x14ac:dyDescent="0.25">
      <c r="A706" s="1" t="str">
        <f t="shared" si="11"/>
        <v>quarta-feira</v>
      </c>
      <c r="B706" s="108">
        <v>44048</v>
      </c>
      <c r="C706" s="109">
        <v>2</v>
      </c>
    </row>
    <row r="707" spans="1:3" x14ac:dyDescent="0.25">
      <c r="A707" s="1" t="str">
        <f t="shared" si="11"/>
        <v>quinta-feira</v>
      </c>
      <c r="B707" s="108">
        <v>44049</v>
      </c>
      <c r="C707" s="109">
        <v>2</v>
      </c>
    </row>
    <row r="708" spans="1:3" x14ac:dyDescent="0.25">
      <c r="A708" s="1" t="str">
        <f t="shared" si="11"/>
        <v>sexta-feira</v>
      </c>
      <c r="B708" s="108">
        <v>44050</v>
      </c>
      <c r="C708" s="109">
        <v>2</v>
      </c>
    </row>
    <row r="709" spans="1:3" x14ac:dyDescent="0.25">
      <c r="A709" s="1" t="str">
        <f t="shared" si="11"/>
        <v>sábado</v>
      </c>
      <c r="B709" s="108">
        <v>44051</v>
      </c>
      <c r="C709" s="109">
        <v>2</v>
      </c>
    </row>
    <row r="710" spans="1:3" x14ac:dyDescent="0.25">
      <c r="A710" s="1" t="str">
        <f t="shared" si="11"/>
        <v>domingo</v>
      </c>
      <c r="B710" s="108">
        <v>44052</v>
      </c>
      <c r="C710" s="109">
        <v>2</v>
      </c>
    </row>
    <row r="711" spans="1:3" x14ac:dyDescent="0.25">
      <c r="A711" s="1" t="str">
        <f t="shared" si="11"/>
        <v>segunda-feira</v>
      </c>
      <c r="B711" s="108">
        <v>44053</v>
      </c>
      <c r="C711" s="109">
        <v>2</v>
      </c>
    </row>
    <row r="712" spans="1:3" x14ac:dyDescent="0.25">
      <c r="A712" s="1" t="str">
        <f t="shared" si="11"/>
        <v>terça-feira</v>
      </c>
      <c r="B712" s="108">
        <v>44054</v>
      </c>
      <c r="C712" s="109">
        <v>2</v>
      </c>
    </row>
    <row r="713" spans="1:3" x14ac:dyDescent="0.25">
      <c r="A713" s="1" t="str">
        <f t="shared" si="11"/>
        <v>quarta-feira</v>
      </c>
      <c r="B713" s="108">
        <v>44055</v>
      </c>
      <c r="C713" s="109">
        <v>2</v>
      </c>
    </row>
    <row r="714" spans="1:3" x14ac:dyDescent="0.25">
      <c r="A714" s="1" t="str">
        <f t="shared" si="11"/>
        <v>quinta-feira</v>
      </c>
      <c r="B714" s="108">
        <v>44056</v>
      </c>
      <c r="C714" s="109">
        <v>2</v>
      </c>
    </row>
    <row r="715" spans="1:3" x14ac:dyDescent="0.25">
      <c r="A715" s="1" t="str">
        <f t="shared" si="11"/>
        <v>sexta-feira</v>
      </c>
      <c r="B715" s="108">
        <v>44057</v>
      </c>
      <c r="C715" s="109">
        <v>2</v>
      </c>
    </row>
    <row r="716" spans="1:3" x14ac:dyDescent="0.25">
      <c r="A716" s="1" t="str">
        <f t="shared" si="11"/>
        <v>sábado</v>
      </c>
      <c r="B716" s="108">
        <v>44058</v>
      </c>
      <c r="C716" s="109">
        <v>2</v>
      </c>
    </row>
    <row r="717" spans="1:3" x14ac:dyDescent="0.25">
      <c r="A717" s="1" t="str">
        <f t="shared" si="11"/>
        <v>domingo</v>
      </c>
      <c r="B717" s="108">
        <v>44059</v>
      </c>
      <c r="C717" s="109">
        <v>2</v>
      </c>
    </row>
    <row r="718" spans="1:3" x14ac:dyDescent="0.25">
      <c r="A718" s="1" t="str">
        <f t="shared" si="11"/>
        <v>segunda-feira</v>
      </c>
      <c r="B718" s="108">
        <v>44060</v>
      </c>
      <c r="C718" s="109">
        <v>2</v>
      </c>
    </row>
    <row r="719" spans="1:3" x14ac:dyDescent="0.25">
      <c r="A719" s="1" t="str">
        <f t="shared" si="11"/>
        <v>terça-feira</v>
      </c>
      <c r="B719" s="108">
        <v>44061</v>
      </c>
      <c r="C719" s="109">
        <v>2</v>
      </c>
    </row>
    <row r="720" spans="1:3" x14ac:dyDescent="0.25">
      <c r="A720" s="1" t="str">
        <f t="shared" si="11"/>
        <v>quarta-feira</v>
      </c>
      <c r="B720" s="108">
        <v>44062</v>
      </c>
      <c r="C720" s="109">
        <v>2</v>
      </c>
    </row>
    <row r="721" spans="1:3" x14ac:dyDescent="0.25">
      <c r="A721" s="1" t="str">
        <f t="shared" si="11"/>
        <v>quinta-feira</v>
      </c>
      <c r="B721" s="108">
        <v>44063</v>
      </c>
      <c r="C721" s="109">
        <v>2</v>
      </c>
    </row>
    <row r="722" spans="1:3" x14ac:dyDescent="0.25">
      <c r="A722" s="1" t="str">
        <f t="shared" si="11"/>
        <v>sexta-feira</v>
      </c>
      <c r="B722" s="108">
        <v>44064</v>
      </c>
      <c r="C722" s="109">
        <v>2</v>
      </c>
    </row>
    <row r="723" spans="1:3" x14ac:dyDescent="0.25">
      <c r="A723" s="1" t="str">
        <f t="shared" si="11"/>
        <v>sábado</v>
      </c>
      <c r="B723" s="108">
        <v>44065</v>
      </c>
      <c r="C723" s="109">
        <v>2</v>
      </c>
    </row>
    <row r="724" spans="1:3" x14ac:dyDescent="0.25">
      <c r="A724" s="1" t="str">
        <f t="shared" si="11"/>
        <v>domingo</v>
      </c>
      <c r="B724" s="108">
        <v>44066</v>
      </c>
      <c r="C724" s="109">
        <v>2</v>
      </c>
    </row>
    <row r="725" spans="1:3" x14ac:dyDescent="0.25">
      <c r="A725" s="1" t="str">
        <f t="shared" si="11"/>
        <v>segunda-feira</v>
      </c>
      <c r="B725" s="108">
        <v>44067</v>
      </c>
      <c r="C725" s="109">
        <v>2</v>
      </c>
    </row>
    <row r="726" spans="1:3" x14ac:dyDescent="0.25">
      <c r="A726" s="1" t="str">
        <f t="shared" si="11"/>
        <v>terça-feira</v>
      </c>
      <c r="B726" s="108">
        <v>44068</v>
      </c>
      <c r="C726" s="109">
        <v>2</v>
      </c>
    </row>
    <row r="727" spans="1:3" x14ac:dyDescent="0.25">
      <c r="A727" s="1" t="str">
        <f t="shared" si="11"/>
        <v>quarta-feira</v>
      </c>
      <c r="B727" s="108">
        <v>44069</v>
      </c>
      <c r="C727" s="109">
        <v>2</v>
      </c>
    </row>
    <row r="728" spans="1:3" x14ac:dyDescent="0.25">
      <c r="A728" s="1" t="str">
        <f t="shared" si="11"/>
        <v>quinta-feira</v>
      </c>
      <c r="B728" s="108">
        <v>44070</v>
      </c>
      <c r="C728" s="109">
        <v>2</v>
      </c>
    </row>
    <row r="729" spans="1:3" x14ac:dyDescent="0.25">
      <c r="A729" s="1" t="str">
        <f t="shared" si="11"/>
        <v>sexta-feira</v>
      </c>
      <c r="B729" s="108">
        <v>44071</v>
      </c>
      <c r="C729" s="109">
        <v>2</v>
      </c>
    </row>
    <row r="730" spans="1:3" x14ac:dyDescent="0.25">
      <c r="A730" s="1" t="str">
        <f t="shared" si="11"/>
        <v>sábado</v>
      </c>
      <c r="B730" s="108">
        <v>44072</v>
      </c>
      <c r="C730" s="109">
        <v>2</v>
      </c>
    </row>
    <row r="731" spans="1:3" x14ac:dyDescent="0.25">
      <c r="A731" s="1" t="str">
        <f t="shared" si="11"/>
        <v>domingo</v>
      </c>
      <c r="B731" s="108">
        <v>44073</v>
      </c>
      <c r="C731" s="109">
        <v>2</v>
      </c>
    </row>
    <row r="732" spans="1:3" x14ac:dyDescent="0.25">
      <c r="A732" s="1" t="str">
        <f t="shared" si="11"/>
        <v>segunda-feira</v>
      </c>
      <c r="B732" s="108">
        <v>44074</v>
      </c>
      <c r="C732" s="109">
        <v>2</v>
      </c>
    </row>
    <row r="733" spans="1:3" x14ac:dyDescent="0.25">
      <c r="A733" s="1" t="str">
        <f t="shared" si="11"/>
        <v>terça-feira</v>
      </c>
      <c r="B733" s="108">
        <v>44075</v>
      </c>
      <c r="C733" s="109">
        <v>2</v>
      </c>
    </row>
    <row r="734" spans="1:3" x14ac:dyDescent="0.25">
      <c r="A734" s="1" t="str">
        <f t="shared" si="11"/>
        <v>quarta-feira</v>
      </c>
      <c r="B734" s="108">
        <v>44076</v>
      </c>
      <c r="C734" s="109">
        <v>2</v>
      </c>
    </row>
    <row r="735" spans="1:3" x14ac:dyDescent="0.25">
      <c r="A735" s="1" t="str">
        <f t="shared" si="11"/>
        <v>quinta-feira</v>
      </c>
      <c r="B735" s="108">
        <v>44077</v>
      </c>
      <c r="C735" s="109">
        <v>2</v>
      </c>
    </row>
    <row r="736" spans="1:3" x14ac:dyDescent="0.25">
      <c r="A736" s="1" t="str">
        <f t="shared" si="11"/>
        <v>sexta-feira</v>
      </c>
      <c r="B736" s="108">
        <v>44078</v>
      </c>
      <c r="C736" s="109">
        <v>2</v>
      </c>
    </row>
    <row r="737" spans="1:3" x14ac:dyDescent="0.25">
      <c r="A737" s="1" t="str">
        <f t="shared" si="11"/>
        <v>sábado</v>
      </c>
      <c r="B737" s="108">
        <v>44079</v>
      </c>
      <c r="C737" s="109">
        <v>2</v>
      </c>
    </row>
    <row r="738" spans="1:3" x14ac:dyDescent="0.25">
      <c r="A738" s="1" t="str">
        <f t="shared" si="11"/>
        <v>domingo</v>
      </c>
      <c r="B738" s="108">
        <v>44080</v>
      </c>
      <c r="C738" s="109">
        <v>2</v>
      </c>
    </row>
    <row r="739" spans="1:3" x14ac:dyDescent="0.25">
      <c r="A739" s="1" t="str">
        <f t="shared" si="11"/>
        <v>segunda-feira</v>
      </c>
      <c r="B739" s="108">
        <v>44081</v>
      </c>
      <c r="C739" s="109">
        <v>2</v>
      </c>
    </row>
    <row r="740" spans="1:3" x14ac:dyDescent="0.25">
      <c r="A740" s="1" t="str">
        <f t="shared" si="11"/>
        <v>terça-feira</v>
      </c>
      <c r="B740" s="108">
        <v>44082</v>
      </c>
      <c r="C740" s="109">
        <v>2</v>
      </c>
    </row>
    <row r="741" spans="1:3" x14ac:dyDescent="0.25">
      <c r="A741" s="1" t="str">
        <f t="shared" si="11"/>
        <v>quarta-feira</v>
      </c>
      <c r="B741" s="108">
        <v>44083</v>
      </c>
      <c r="C741" s="109">
        <v>2</v>
      </c>
    </row>
    <row r="742" spans="1:3" x14ac:dyDescent="0.25">
      <c r="A742" s="1" t="str">
        <f t="shared" si="11"/>
        <v>quinta-feira</v>
      </c>
      <c r="B742" s="108">
        <v>44084</v>
      </c>
      <c r="C742" s="109">
        <v>2</v>
      </c>
    </row>
    <row r="743" spans="1:3" x14ac:dyDescent="0.25">
      <c r="A743" s="1" t="str">
        <f t="shared" si="11"/>
        <v>sexta-feira</v>
      </c>
      <c r="B743" s="108">
        <v>44085</v>
      </c>
      <c r="C743" s="109">
        <v>2</v>
      </c>
    </row>
    <row r="744" spans="1:3" x14ac:dyDescent="0.25">
      <c r="A744" s="1" t="str">
        <f t="shared" si="11"/>
        <v>sábado</v>
      </c>
      <c r="B744" s="108">
        <v>44086</v>
      </c>
      <c r="C744" s="109">
        <v>2</v>
      </c>
    </row>
    <row r="745" spans="1:3" x14ac:dyDescent="0.25">
      <c r="A745" s="1" t="str">
        <f t="shared" si="11"/>
        <v>domingo</v>
      </c>
      <c r="B745" s="108">
        <v>44087</v>
      </c>
      <c r="C745" s="109">
        <v>2</v>
      </c>
    </row>
    <row r="746" spans="1:3" x14ac:dyDescent="0.25">
      <c r="A746" s="1" t="str">
        <f t="shared" si="11"/>
        <v>segunda-feira</v>
      </c>
      <c r="B746" s="108">
        <v>44088</v>
      </c>
      <c r="C746" s="109">
        <v>2</v>
      </c>
    </row>
    <row r="747" spans="1:3" x14ac:dyDescent="0.25">
      <c r="A747" s="1" t="str">
        <f t="shared" si="11"/>
        <v>terça-feira</v>
      </c>
      <c r="B747" s="108">
        <v>44089</v>
      </c>
      <c r="C747" s="109">
        <v>2</v>
      </c>
    </row>
    <row r="748" spans="1:3" x14ac:dyDescent="0.25">
      <c r="A748" s="1" t="str">
        <f t="shared" si="11"/>
        <v>quarta-feira</v>
      </c>
      <c r="B748" s="108">
        <v>44090</v>
      </c>
      <c r="C748" s="109">
        <v>2</v>
      </c>
    </row>
    <row r="749" spans="1:3" x14ac:dyDescent="0.25">
      <c r="A749" s="1" t="str">
        <f t="shared" si="11"/>
        <v>quinta-feira</v>
      </c>
      <c r="B749" s="108">
        <v>44091</v>
      </c>
      <c r="C749" s="109">
        <v>2</v>
      </c>
    </row>
    <row r="750" spans="1:3" x14ac:dyDescent="0.25">
      <c r="A750" s="1" t="str">
        <f t="shared" si="11"/>
        <v>sexta-feira</v>
      </c>
      <c r="B750" s="108">
        <v>44092</v>
      </c>
      <c r="C750" s="109">
        <v>2</v>
      </c>
    </row>
    <row r="751" spans="1:3" x14ac:dyDescent="0.25">
      <c r="A751" s="1" t="str">
        <f t="shared" si="11"/>
        <v>sábado</v>
      </c>
      <c r="B751" s="108">
        <v>44093</v>
      </c>
      <c r="C751" s="109">
        <v>2</v>
      </c>
    </row>
    <row r="752" spans="1:3" x14ac:dyDescent="0.25">
      <c r="A752" s="1" t="str">
        <f t="shared" si="11"/>
        <v>domingo</v>
      </c>
      <c r="B752" s="108">
        <v>44094</v>
      </c>
      <c r="C752" s="109">
        <v>2</v>
      </c>
    </row>
    <row r="753" spans="1:3" x14ac:dyDescent="0.25">
      <c r="A753" s="1" t="str">
        <f t="shared" si="11"/>
        <v>segunda-feira</v>
      </c>
      <c r="B753" s="108">
        <v>44095</v>
      </c>
      <c r="C753" s="109">
        <v>2</v>
      </c>
    </row>
    <row r="754" spans="1:3" x14ac:dyDescent="0.25">
      <c r="A754" s="1" t="str">
        <f t="shared" si="11"/>
        <v>terça-feira</v>
      </c>
      <c r="B754" s="108">
        <v>44096</v>
      </c>
      <c r="C754" s="109">
        <v>2</v>
      </c>
    </row>
    <row r="755" spans="1:3" x14ac:dyDescent="0.25">
      <c r="A755" s="1" t="str">
        <f t="shared" si="11"/>
        <v>quarta-feira</v>
      </c>
      <c r="B755" s="108">
        <v>44097</v>
      </c>
      <c r="C755" s="109">
        <v>2</v>
      </c>
    </row>
    <row r="756" spans="1:3" x14ac:dyDescent="0.25">
      <c r="A756" s="1" t="str">
        <f t="shared" si="11"/>
        <v>quinta-feira</v>
      </c>
      <c r="B756" s="108">
        <v>44098</v>
      </c>
      <c r="C756" s="109">
        <v>2</v>
      </c>
    </row>
    <row r="757" spans="1:3" x14ac:dyDescent="0.25">
      <c r="A757" s="1" t="str">
        <f t="shared" si="11"/>
        <v>sexta-feira</v>
      </c>
      <c r="B757" s="108">
        <v>44099</v>
      </c>
      <c r="C757" s="109">
        <v>2</v>
      </c>
    </row>
    <row r="758" spans="1:3" x14ac:dyDescent="0.25">
      <c r="A758" s="1" t="str">
        <f t="shared" si="11"/>
        <v>sábado</v>
      </c>
      <c r="B758" s="108">
        <v>44100</v>
      </c>
      <c r="C758" s="109">
        <v>2</v>
      </c>
    </row>
    <row r="759" spans="1:3" x14ac:dyDescent="0.25">
      <c r="A759" s="1" t="str">
        <f t="shared" si="11"/>
        <v>domingo</v>
      </c>
      <c r="B759" s="108">
        <v>44101</v>
      </c>
      <c r="C759" s="109">
        <v>2</v>
      </c>
    </row>
    <row r="760" spans="1:3" x14ac:dyDescent="0.25">
      <c r="A760" s="1" t="str">
        <f t="shared" si="11"/>
        <v>segunda-feira</v>
      </c>
      <c r="B760" s="108">
        <v>44102</v>
      </c>
      <c r="C760" s="109">
        <v>2</v>
      </c>
    </row>
    <row r="761" spans="1:3" x14ac:dyDescent="0.25">
      <c r="A761" s="1" t="str">
        <f t="shared" si="11"/>
        <v>terça-feira</v>
      </c>
      <c r="B761" s="108">
        <v>44103</v>
      </c>
      <c r="C761" s="109">
        <v>2</v>
      </c>
    </row>
    <row r="762" spans="1:3" x14ac:dyDescent="0.25">
      <c r="A762" s="1" t="str">
        <f t="shared" si="11"/>
        <v>quarta-feira</v>
      </c>
      <c r="B762" s="108">
        <v>44104</v>
      </c>
      <c r="C762" s="109">
        <v>2</v>
      </c>
    </row>
    <row r="763" spans="1:3" x14ac:dyDescent="0.25">
      <c r="A763" s="1" t="str">
        <f t="shared" si="11"/>
        <v>quinta-feira</v>
      </c>
      <c r="B763" s="108">
        <v>44105</v>
      </c>
      <c r="C763" s="109">
        <v>2</v>
      </c>
    </row>
    <row r="764" spans="1:3" x14ac:dyDescent="0.25">
      <c r="A764" s="1" t="str">
        <f t="shared" si="11"/>
        <v>sexta-feira</v>
      </c>
      <c r="B764" s="108">
        <v>44106</v>
      </c>
      <c r="C764" s="109">
        <v>2</v>
      </c>
    </row>
    <row r="765" spans="1:3" x14ac:dyDescent="0.25">
      <c r="A765" s="1" t="str">
        <f t="shared" ref="A765:A828" si="12">TEXT(B765,"dddd")</f>
        <v>sábado</v>
      </c>
      <c r="B765" s="108">
        <v>44107</v>
      </c>
      <c r="C765" s="109">
        <v>2</v>
      </c>
    </row>
    <row r="766" spans="1:3" x14ac:dyDescent="0.25">
      <c r="A766" s="1" t="str">
        <f t="shared" si="12"/>
        <v>domingo</v>
      </c>
      <c r="B766" s="108">
        <v>44108</v>
      </c>
      <c r="C766" s="109">
        <v>2</v>
      </c>
    </row>
    <row r="767" spans="1:3" x14ac:dyDescent="0.25">
      <c r="A767" s="1" t="str">
        <f t="shared" si="12"/>
        <v>segunda-feira</v>
      </c>
      <c r="B767" s="108">
        <v>44109</v>
      </c>
      <c r="C767" s="109">
        <v>2</v>
      </c>
    </row>
    <row r="768" spans="1:3" x14ac:dyDescent="0.25">
      <c r="A768" s="1" t="str">
        <f t="shared" si="12"/>
        <v>terça-feira</v>
      </c>
      <c r="B768" s="108">
        <v>44110</v>
      </c>
      <c r="C768" s="109">
        <v>2</v>
      </c>
    </row>
    <row r="769" spans="1:3" x14ac:dyDescent="0.25">
      <c r="A769" s="1" t="str">
        <f t="shared" si="12"/>
        <v>quarta-feira</v>
      </c>
      <c r="B769" s="108">
        <v>44111</v>
      </c>
      <c r="C769" s="109">
        <v>2</v>
      </c>
    </row>
    <row r="770" spans="1:3" x14ac:dyDescent="0.25">
      <c r="A770" s="1" t="str">
        <f t="shared" si="12"/>
        <v>quinta-feira</v>
      </c>
      <c r="B770" s="108">
        <v>44112</v>
      </c>
      <c r="C770" s="109">
        <v>2</v>
      </c>
    </row>
    <row r="771" spans="1:3" x14ac:dyDescent="0.25">
      <c r="A771" s="1" t="str">
        <f t="shared" si="12"/>
        <v>sexta-feira</v>
      </c>
      <c r="B771" s="108">
        <v>44113</v>
      </c>
      <c r="C771" s="109">
        <v>2</v>
      </c>
    </row>
    <row r="772" spans="1:3" x14ac:dyDescent="0.25">
      <c r="A772" s="1" t="str">
        <f t="shared" si="12"/>
        <v>sábado</v>
      </c>
      <c r="B772" s="108">
        <v>44114</v>
      </c>
      <c r="C772" s="109">
        <v>2</v>
      </c>
    </row>
    <row r="773" spans="1:3" x14ac:dyDescent="0.25">
      <c r="A773" s="1" t="str">
        <f t="shared" si="12"/>
        <v>domingo</v>
      </c>
      <c r="B773" s="108">
        <v>44115</v>
      </c>
      <c r="C773" s="109">
        <v>2</v>
      </c>
    </row>
    <row r="774" spans="1:3" x14ac:dyDescent="0.25">
      <c r="A774" s="1" t="str">
        <f t="shared" si="12"/>
        <v>segunda-feira</v>
      </c>
      <c r="B774" s="108">
        <v>44116</v>
      </c>
      <c r="C774" s="109">
        <v>2</v>
      </c>
    </row>
    <row r="775" spans="1:3" x14ac:dyDescent="0.25">
      <c r="A775" s="1" t="str">
        <f t="shared" si="12"/>
        <v>terça-feira</v>
      </c>
      <c r="B775" s="108">
        <v>44117</v>
      </c>
      <c r="C775" s="109">
        <v>2</v>
      </c>
    </row>
    <row r="776" spans="1:3" x14ac:dyDescent="0.25">
      <c r="A776" s="1" t="str">
        <f t="shared" si="12"/>
        <v>quarta-feira</v>
      </c>
      <c r="B776" s="108">
        <v>44118</v>
      </c>
      <c r="C776" s="109">
        <v>2</v>
      </c>
    </row>
    <row r="777" spans="1:3" x14ac:dyDescent="0.25">
      <c r="A777" s="1" t="str">
        <f t="shared" si="12"/>
        <v>quinta-feira</v>
      </c>
      <c r="B777" s="108">
        <v>44119</v>
      </c>
      <c r="C777" s="109">
        <v>2</v>
      </c>
    </row>
    <row r="778" spans="1:3" x14ac:dyDescent="0.25">
      <c r="A778" s="1" t="str">
        <f t="shared" si="12"/>
        <v>sexta-feira</v>
      </c>
      <c r="B778" s="108">
        <v>44120</v>
      </c>
      <c r="C778" s="109">
        <v>2</v>
      </c>
    </row>
    <row r="779" spans="1:3" x14ac:dyDescent="0.25">
      <c r="A779" s="1" t="str">
        <f t="shared" si="12"/>
        <v>sábado</v>
      </c>
      <c r="B779" s="108">
        <v>44121</v>
      </c>
      <c r="C779" s="109">
        <v>2</v>
      </c>
    </row>
    <row r="780" spans="1:3" x14ac:dyDescent="0.25">
      <c r="A780" s="1" t="str">
        <f t="shared" si="12"/>
        <v>domingo</v>
      </c>
      <c r="B780" s="108">
        <v>44122</v>
      </c>
      <c r="C780" s="109">
        <v>2</v>
      </c>
    </row>
    <row r="781" spans="1:3" x14ac:dyDescent="0.25">
      <c r="A781" s="1" t="str">
        <f t="shared" si="12"/>
        <v>segunda-feira</v>
      </c>
      <c r="B781" s="108">
        <v>44123</v>
      </c>
      <c r="C781" s="109">
        <v>2</v>
      </c>
    </row>
    <row r="782" spans="1:3" x14ac:dyDescent="0.25">
      <c r="A782" s="1" t="str">
        <f t="shared" si="12"/>
        <v>terça-feira</v>
      </c>
      <c r="B782" s="108">
        <v>44124</v>
      </c>
      <c r="C782" s="109">
        <v>2</v>
      </c>
    </row>
    <row r="783" spans="1:3" x14ac:dyDescent="0.25">
      <c r="A783" s="1" t="str">
        <f t="shared" si="12"/>
        <v>quarta-feira</v>
      </c>
      <c r="B783" s="108">
        <v>44125</v>
      </c>
      <c r="C783" s="109">
        <v>2</v>
      </c>
    </row>
    <row r="784" spans="1:3" x14ac:dyDescent="0.25">
      <c r="A784" s="1" t="str">
        <f t="shared" si="12"/>
        <v>quinta-feira</v>
      </c>
      <c r="B784" s="108">
        <v>44126</v>
      </c>
      <c r="C784" s="109">
        <v>2</v>
      </c>
    </row>
    <row r="785" spans="1:3" x14ac:dyDescent="0.25">
      <c r="A785" s="1" t="str">
        <f t="shared" si="12"/>
        <v>sexta-feira</v>
      </c>
      <c r="B785" s="108">
        <v>44127</v>
      </c>
      <c r="C785" s="109">
        <v>2</v>
      </c>
    </row>
    <row r="786" spans="1:3" x14ac:dyDescent="0.25">
      <c r="A786" s="1" t="str">
        <f t="shared" si="12"/>
        <v>sábado</v>
      </c>
      <c r="B786" s="108">
        <v>44128</v>
      </c>
      <c r="C786" s="109">
        <v>2</v>
      </c>
    </row>
    <row r="787" spans="1:3" x14ac:dyDescent="0.25">
      <c r="A787" s="1" t="str">
        <f t="shared" si="12"/>
        <v>domingo</v>
      </c>
      <c r="B787" s="108">
        <v>44129</v>
      </c>
      <c r="C787" s="109">
        <v>2</v>
      </c>
    </row>
    <row r="788" spans="1:3" x14ac:dyDescent="0.25">
      <c r="A788" s="1" t="str">
        <f t="shared" si="12"/>
        <v>segunda-feira</v>
      </c>
      <c r="B788" s="108">
        <v>44130</v>
      </c>
      <c r="C788" s="109">
        <v>2</v>
      </c>
    </row>
    <row r="789" spans="1:3" x14ac:dyDescent="0.25">
      <c r="A789" s="1" t="str">
        <f t="shared" si="12"/>
        <v>terça-feira</v>
      </c>
      <c r="B789" s="108">
        <v>44131</v>
      </c>
      <c r="C789" s="109">
        <v>2</v>
      </c>
    </row>
    <row r="790" spans="1:3" x14ac:dyDescent="0.25">
      <c r="A790" s="1" t="str">
        <f t="shared" si="12"/>
        <v>quarta-feira</v>
      </c>
      <c r="B790" s="108">
        <v>44132</v>
      </c>
      <c r="C790" s="109">
        <v>2</v>
      </c>
    </row>
    <row r="791" spans="1:3" x14ac:dyDescent="0.25">
      <c r="A791" s="1" t="str">
        <f t="shared" si="12"/>
        <v>quinta-feira</v>
      </c>
      <c r="B791" s="108">
        <v>44133</v>
      </c>
      <c r="C791" s="109">
        <v>2</v>
      </c>
    </row>
    <row r="792" spans="1:3" x14ac:dyDescent="0.25">
      <c r="A792" s="1" t="str">
        <f t="shared" si="12"/>
        <v>sexta-feira</v>
      </c>
      <c r="B792" s="108">
        <v>44134</v>
      </c>
      <c r="C792" s="109">
        <v>2</v>
      </c>
    </row>
    <row r="793" spans="1:3" x14ac:dyDescent="0.25">
      <c r="A793" s="1" t="str">
        <f t="shared" si="12"/>
        <v>sábado</v>
      </c>
      <c r="B793" s="108">
        <v>44135</v>
      </c>
      <c r="C793" s="109">
        <v>2</v>
      </c>
    </row>
    <row r="794" spans="1:3" x14ac:dyDescent="0.25">
      <c r="A794" s="1" t="str">
        <f t="shared" si="12"/>
        <v>domingo</v>
      </c>
      <c r="B794" s="108">
        <v>44136</v>
      </c>
      <c r="C794" s="109">
        <v>2</v>
      </c>
    </row>
    <row r="795" spans="1:3" x14ac:dyDescent="0.25">
      <c r="A795" s="1" t="str">
        <f t="shared" si="12"/>
        <v>segunda-feira</v>
      </c>
      <c r="B795" s="108">
        <v>44137</v>
      </c>
      <c r="C795" s="109">
        <v>2</v>
      </c>
    </row>
    <row r="796" spans="1:3" x14ac:dyDescent="0.25">
      <c r="A796" s="1" t="str">
        <f t="shared" si="12"/>
        <v>terça-feira</v>
      </c>
      <c r="B796" s="108">
        <v>44138</v>
      </c>
      <c r="C796" s="109">
        <v>2</v>
      </c>
    </row>
    <row r="797" spans="1:3" x14ac:dyDescent="0.25">
      <c r="A797" s="1" t="str">
        <f t="shared" si="12"/>
        <v>quarta-feira</v>
      </c>
      <c r="B797" s="108">
        <v>44139</v>
      </c>
      <c r="C797" s="109">
        <v>2</v>
      </c>
    </row>
    <row r="798" spans="1:3" x14ac:dyDescent="0.25">
      <c r="A798" s="1" t="str">
        <f t="shared" si="12"/>
        <v>quinta-feira</v>
      </c>
      <c r="B798" s="108">
        <v>44140</v>
      </c>
      <c r="C798" s="109">
        <v>2</v>
      </c>
    </row>
    <row r="799" spans="1:3" x14ac:dyDescent="0.25">
      <c r="A799" s="1" t="str">
        <f t="shared" si="12"/>
        <v>sexta-feira</v>
      </c>
      <c r="B799" s="108">
        <v>44141</v>
      </c>
      <c r="C799" s="109">
        <v>2</v>
      </c>
    </row>
    <row r="800" spans="1:3" x14ac:dyDescent="0.25">
      <c r="A800" s="1" t="str">
        <f t="shared" si="12"/>
        <v>sábado</v>
      </c>
      <c r="B800" s="108">
        <v>44142</v>
      </c>
      <c r="C800" s="109">
        <v>2</v>
      </c>
    </row>
    <row r="801" spans="1:3" x14ac:dyDescent="0.25">
      <c r="A801" s="1" t="str">
        <f t="shared" si="12"/>
        <v>domingo</v>
      </c>
      <c r="B801" s="108">
        <v>44143</v>
      </c>
      <c r="C801" s="109">
        <v>2</v>
      </c>
    </row>
    <row r="802" spans="1:3" x14ac:dyDescent="0.25">
      <c r="A802" s="1" t="str">
        <f t="shared" si="12"/>
        <v>segunda-feira</v>
      </c>
      <c r="B802" s="108">
        <v>44144</v>
      </c>
      <c r="C802" s="109">
        <v>2</v>
      </c>
    </row>
    <row r="803" spans="1:3" x14ac:dyDescent="0.25">
      <c r="A803" s="1" t="str">
        <f t="shared" si="12"/>
        <v>terça-feira</v>
      </c>
      <c r="B803" s="108">
        <v>44145</v>
      </c>
      <c r="C803" s="109">
        <v>2</v>
      </c>
    </row>
    <row r="804" spans="1:3" x14ac:dyDescent="0.25">
      <c r="A804" s="1" t="str">
        <f t="shared" si="12"/>
        <v>quarta-feira</v>
      </c>
      <c r="B804" s="108">
        <v>44146</v>
      </c>
      <c r="C804" s="109">
        <v>2</v>
      </c>
    </row>
    <row r="805" spans="1:3" x14ac:dyDescent="0.25">
      <c r="A805" s="1" t="str">
        <f t="shared" si="12"/>
        <v>quinta-feira</v>
      </c>
      <c r="B805" s="108">
        <v>44147</v>
      </c>
      <c r="C805" s="109">
        <v>2</v>
      </c>
    </row>
    <row r="806" spans="1:3" x14ac:dyDescent="0.25">
      <c r="A806" s="1" t="str">
        <f t="shared" si="12"/>
        <v>sexta-feira</v>
      </c>
      <c r="B806" s="108">
        <v>44148</v>
      </c>
      <c r="C806" s="109">
        <v>2</v>
      </c>
    </row>
    <row r="807" spans="1:3" x14ac:dyDescent="0.25">
      <c r="A807" s="1" t="str">
        <f t="shared" si="12"/>
        <v>sábado</v>
      </c>
      <c r="B807" s="108">
        <v>44149</v>
      </c>
      <c r="C807" s="109">
        <v>2</v>
      </c>
    </row>
    <row r="808" spans="1:3" x14ac:dyDescent="0.25">
      <c r="A808" s="1" t="str">
        <f t="shared" si="12"/>
        <v>domingo</v>
      </c>
      <c r="B808" s="108">
        <v>44150</v>
      </c>
      <c r="C808" s="109">
        <v>2</v>
      </c>
    </row>
    <row r="809" spans="1:3" x14ac:dyDescent="0.25">
      <c r="A809" s="1" t="str">
        <f t="shared" si="12"/>
        <v>segunda-feira</v>
      </c>
      <c r="B809" s="108">
        <v>44151</v>
      </c>
      <c r="C809" s="109">
        <v>2</v>
      </c>
    </row>
    <row r="810" spans="1:3" x14ac:dyDescent="0.25">
      <c r="A810" s="1" t="str">
        <f t="shared" si="12"/>
        <v>terça-feira</v>
      </c>
      <c r="B810" s="108">
        <v>44152</v>
      </c>
      <c r="C810" s="109">
        <v>2</v>
      </c>
    </row>
    <row r="811" spans="1:3" x14ac:dyDescent="0.25">
      <c r="A811" s="1" t="str">
        <f t="shared" si="12"/>
        <v>quarta-feira</v>
      </c>
      <c r="B811" s="108">
        <v>44153</v>
      </c>
      <c r="C811" s="109">
        <v>2</v>
      </c>
    </row>
    <row r="812" spans="1:3" x14ac:dyDescent="0.25">
      <c r="A812" s="1" t="str">
        <f t="shared" si="12"/>
        <v>quinta-feira</v>
      </c>
      <c r="B812" s="108">
        <v>44154</v>
      </c>
      <c r="C812" s="109">
        <v>2</v>
      </c>
    </row>
    <row r="813" spans="1:3" x14ac:dyDescent="0.25">
      <c r="A813" s="1" t="str">
        <f t="shared" si="12"/>
        <v>sexta-feira</v>
      </c>
      <c r="B813" s="108">
        <v>44155</v>
      </c>
      <c r="C813" s="109">
        <v>2</v>
      </c>
    </row>
    <row r="814" spans="1:3" x14ac:dyDescent="0.25">
      <c r="A814" s="1" t="str">
        <f t="shared" si="12"/>
        <v>sábado</v>
      </c>
      <c r="B814" s="108">
        <v>44156</v>
      </c>
      <c r="C814" s="109">
        <v>2</v>
      </c>
    </row>
    <row r="815" spans="1:3" x14ac:dyDescent="0.25">
      <c r="A815" s="1" t="str">
        <f t="shared" si="12"/>
        <v>domingo</v>
      </c>
      <c r="B815" s="108">
        <v>44157</v>
      </c>
      <c r="C815" s="109">
        <v>2</v>
      </c>
    </row>
    <row r="816" spans="1:3" x14ac:dyDescent="0.25">
      <c r="A816" s="1" t="str">
        <f t="shared" si="12"/>
        <v>segunda-feira</v>
      </c>
      <c r="B816" s="108">
        <v>44158</v>
      </c>
      <c r="C816" s="109">
        <v>2</v>
      </c>
    </row>
    <row r="817" spans="1:3" x14ac:dyDescent="0.25">
      <c r="A817" s="1" t="str">
        <f t="shared" si="12"/>
        <v>terça-feira</v>
      </c>
      <c r="B817" s="108">
        <v>44159</v>
      </c>
      <c r="C817" s="109">
        <v>2</v>
      </c>
    </row>
    <row r="818" spans="1:3" x14ac:dyDescent="0.25">
      <c r="A818" s="1" t="str">
        <f t="shared" si="12"/>
        <v>quarta-feira</v>
      </c>
      <c r="B818" s="108">
        <v>44160</v>
      </c>
      <c r="C818" s="109">
        <v>2</v>
      </c>
    </row>
    <row r="819" spans="1:3" x14ac:dyDescent="0.25">
      <c r="A819" s="1" t="str">
        <f t="shared" si="12"/>
        <v>quinta-feira</v>
      </c>
      <c r="B819" s="108">
        <v>44161</v>
      </c>
      <c r="C819" s="109">
        <v>2</v>
      </c>
    </row>
    <row r="820" spans="1:3" x14ac:dyDescent="0.25">
      <c r="A820" s="1" t="str">
        <f t="shared" si="12"/>
        <v>sexta-feira</v>
      </c>
      <c r="B820" s="108">
        <v>44162</v>
      </c>
      <c r="C820" s="109">
        <v>2</v>
      </c>
    </row>
    <row r="821" spans="1:3" x14ac:dyDescent="0.25">
      <c r="A821" s="1" t="str">
        <f t="shared" si="12"/>
        <v>sábado</v>
      </c>
      <c r="B821" s="108">
        <v>44163</v>
      </c>
      <c r="C821" s="109">
        <v>2</v>
      </c>
    </row>
    <row r="822" spans="1:3" x14ac:dyDescent="0.25">
      <c r="A822" s="1" t="str">
        <f t="shared" si="12"/>
        <v>domingo</v>
      </c>
      <c r="B822" s="108">
        <v>44164</v>
      </c>
      <c r="C822" s="109">
        <v>2</v>
      </c>
    </row>
    <row r="823" spans="1:3" x14ac:dyDescent="0.25">
      <c r="A823" s="1" t="str">
        <f t="shared" si="12"/>
        <v>segunda-feira</v>
      </c>
      <c r="B823" s="108">
        <v>44165</v>
      </c>
      <c r="C823" s="109">
        <v>2</v>
      </c>
    </row>
    <row r="824" spans="1:3" x14ac:dyDescent="0.25">
      <c r="A824" s="1" t="str">
        <f t="shared" si="12"/>
        <v>terça-feira</v>
      </c>
      <c r="B824" s="108">
        <v>44166</v>
      </c>
      <c r="C824" s="109">
        <v>2</v>
      </c>
    </row>
    <row r="825" spans="1:3" x14ac:dyDescent="0.25">
      <c r="A825" s="1" t="str">
        <f t="shared" si="12"/>
        <v>quarta-feira</v>
      </c>
      <c r="B825" s="108">
        <v>44167</v>
      </c>
      <c r="C825" s="109">
        <v>2</v>
      </c>
    </row>
    <row r="826" spans="1:3" x14ac:dyDescent="0.25">
      <c r="A826" s="1" t="str">
        <f t="shared" si="12"/>
        <v>quinta-feira</v>
      </c>
      <c r="B826" s="108">
        <v>44168</v>
      </c>
      <c r="C826" s="109">
        <v>2</v>
      </c>
    </row>
    <row r="827" spans="1:3" x14ac:dyDescent="0.25">
      <c r="A827" s="1" t="str">
        <f t="shared" si="12"/>
        <v>sexta-feira</v>
      </c>
      <c r="B827" s="108">
        <v>44169</v>
      </c>
      <c r="C827" s="109">
        <v>2</v>
      </c>
    </row>
    <row r="828" spans="1:3" x14ac:dyDescent="0.25">
      <c r="A828" s="1" t="str">
        <f t="shared" si="12"/>
        <v>sábado</v>
      </c>
      <c r="B828" s="108">
        <v>44170</v>
      </c>
      <c r="C828" s="109">
        <v>2</v>
      </c>
    </row>
    <row r="829" spans="1:3" x14ac:dyDescent="0.25">
      <c r="A829" s="1" t="str">
        <f t="shared" ref="A829:A854" si="13">TEXT(B829,"dddd")</f>
        <v>domingo</v>
      </c>
      <c r="B829" s="108">
        <v>44171</v>
      </c>
      <c r="C829" s="109">
        <v>2</v>
      </c>
    </row>
    <row r="830" spans="1:3" x14ac:dyDescent="0.25">
      <c r="A830" s="1" t="str">
        <f t="shared" si="13"/>
        <v>segunda-feira</v>
      </c>
      <c r="B830" s="108">
        <v>44172</v>
      </c>
      <c r="C830" s="109">
        <v>2</v>
      </c>
    </row>
    <row r="831" spans="1:3" x14ac:dyDescent="0.25">
      <c r="A831" s="1" t="str">
        <f t="shared" si="13"/>
        <v>terça-feira</v>
      </c>
      <c r="B831" s="108">
        <v>44173</v>
      </c>
      <c r="C831" s="109">
        <v>2</v>
      </c>
    </row>
    <row r="832" spans="1:3" x14ac:dyDescent="0.25">
      <c r="A832" s="1" t="str">
        <f t="shared" si="13"/>
        <v>quarta-feira</v>
      </c>
      <c r="B832" s="108">
        <v>44174</v>
      </c>
      <c r="C832" s="109">
        <v>2</v>
      </c>
    </row>
    <row r="833" spans="1:3" x14ac:dyDescent="0.25">
      <c r="A833" s="1" t="str">
        <f t="shared" si="13"/>
        <v>quinta-feira</v>
      </c>
      <c r="B833" s="108">
        <v>44175</v>
      </c>
      <c r="C833" s="109">
        <v>2</v>
      </c>
    </row>
    <row r="834" spans="1:3" x14ac:dyDescent="0.25">
      <c r="A834" s="1" t="str">
        <f t="shared" si="13"/>
        <v>sexta-feira</v>
      </c>
      <c r="B834" s="108">
        <v>44176</v>
      </c>
      <c r="C834" s="109">
        <v>2</v>
      </c>
    </row>
    <row r="835" spans="1:3" x14ac:dyDescent="0.25">
      <c r="A835" s="1" t="str">
        <f t="shared" si="13"/>
        <v>sábado</v>
      </c>
      <c r="B835" s="108">
        <v>44177</v>
      </c>
      <c r="C835" s="109">
        <v>2</v>
      </c>
    </row>
    <row r="836" spans="1:3" x14ac:dyDescent="0.25">
      <c r="A836" s="1" t="str">
        <f t="shared" si="13"/>
        <v>domingo</v>
      </c>
      <c r="B836" s="108">
        <v>44178</v>
      </c>
      <c r="C836" s="109">
        <v>2</v>
      </c>
    </row>
    <row r="837" spans="1:3" x14ac:dyDescent="0.25">
      <c r="A837" s="1" t="str">
        <f t="shared" si="13"/>
        <v>segunda-feira</v>
      </c>
      <c r="B837" s="108">
        <v>44179</v>
      </c>
      <c r="C837" s="109">
        <v>2</v>
      </c>
    </row>
    <row r="838" spans="1:3" x14ac:dyDescent="0.25">
      <c r="A838" s="1" t="str">
        <f t="shared" si="13"/>
        <v>terça-feira</v>
      </c>
      <c r="B838" s="108">
        <v>44180</v>
      </c>
      <c r="C838" s="109">
        <v>2</v>
      </c>
    </row>
    <row r="839" spans="1:3" x14ac:dyDescent="0.25">
      <c r="A839" s="1" t="str">
        <f t="shared" si="13"/>
        <v>quarta-feira</v>
      </c>
      <c r="B839" s="108">
        <v>44181</v>
      </c>
      <c r="C839" s="109">
        <v>2</v>
      </c>
    </row>
    <row r="840" spans="1:3" x14ac:dyDescent="0.25">
      <c r="A840" s="1" t="str">
        <f t="shared" si="13"/>
        <v>quinta-feira</v>
      </c>
      <c r="B840" s="108">
        <v>44182</v>
      </c>
      <c r="C840" s="109">
        <v>2</v>
      </c>
    </row>
    <row r="841" spans="1:3" x14ac:dyDescent="0.25">
      <c r="A841" s="1" t="str">
        <f t="shared" si="13"/>
        <v>sexta-feira</v>
      </c>
      <c r="B841" s="108">
        <v>44183</v>
      </c>
      <c r="C841" s="109">
        <v>2</v>
      </c>
    </row>
    <row r="842" spans="1:3" x14ac:dyDescent="0.25">
      <c r="A842" s="1" t="str">
        <f t="shared" si="13"/>
        <v>sábado</v>
      </c>
      <c r="B842" s="108">
        <v>44184</v>
      </c>
      <c r="C842" s="109">
        <v>2</v>
      </c>
    </row>
    <row r="843" spans="1:3" x14ac:dyDescent="0.25">
      <c r="A843" s="1" t="str">
        <f t="shared" si="13"/>
        <v>domingo</v>
      </c>
      <c r="B843" s="108">
        <v>44185</v>
      </c>
      <c r="C843" s="109">
        <v>2</v>
      </c>
    </row>
    <row r="844" spans="1:3" x14ac:dyDescent="0.25">
      <c r="A844" s="1" t="str">
        <f t="shared" si="13"/>
        <v>segunda-feira</v>
      </c>
      <c r="B844" s="108">
        <v>44186</v>
      </c>
      <c r="C844" s="109">
        <v>2</v>
      </c>
    </row>
    <row r="845" spans="1:3" x14ac:dyDescent="0.25">
      <c r="A845" s="1" t="str">
        <f t="shared" si="13"/>
        <v>terça-feira</v>
      </c>
      <c r="B845" s="108">
        <v>44187</v>
      </c>
      <c r="C845" s="109">
        <v>2</v>
      </c>
    </row>
    <row r="846" spans="1:3" x14ac:dyDescent="0.25">
      <c r="A846" s="1" t="str">
        <f t="shared" si="13"/>
        <v>quarta-feira</v>
      </c>
      <c r="B846" s="108">
        <v>44188</v>
      </c>
      <c r="C846" s="109">
        <v>2</v>
      </c>
    </row>
    <row r="847" spans="1:3" x14ac:dyDescent="0.25">
      <c r="A847" s="1" t="str">
        <f t="shared" si="13"/>
        <v>quinta-feira</v>
      </c>
      <c r="B847" s="108">
        <v>44189</v>
      </c>
      <c r="C847" s="109">
        <v>2</v>
      </c>
    </row>
    <row r="848" spans="1:3" x14ac:dyDescent="0.25">
      <c r="A848" s="1" t="str">
        <f t="shared" si="13"/>
        <v>sexta-feira</v>
      </c>
      <c r="B848" s="108">
        <v>44190</v>
      </c>
      <c r="C848" s="109">
        <v>2</v>
      </c>
    </row>
    <row r="849" spans="1:3" x14ac:dyDescent="0.25">
      <c r="A849" s="1" t="str">
        <f t="shared" si="13"/>
        <v>sábado</v>
      </c>
      <c r="B849" s="108">
        <v>44191</v>
      </c>
      <c r="C849" s="109">
        <v>2</v>
      </c>
    </row>
    <row r="850" spans="1:3" x14ac:dyDescent="0.25">
      <c r="A850" s="1" t="str">
        <f t="shared" si="13"/>
        <v>domingo</v>
      </c>
      <c r="B850" s="108">
        <v>44192</v>
      </c>
      <c r="C850" s="109">
        <v>2</v>
      </c>
    </row>
    <row r="851" spans="1:3" x14ac:dyDescent="0.25">
      <c r="A851" s="1" t="str">
        <f t="shared" si="13"/>
        <v>segunda-feira</v>
      </c>
      <c r="B851" s="108">
        <v>44193</v>
      </c>
      <c r="C851" s="109">
        <v>2</v>
      </c>
    </row>
    <row r="852" spans="1:3" x14ac:dyDescent="0.25">
      <c r="A852" s="1" t="str">
        <f t="shared" si="13"/>
        <v>terça-feira</v>
      </c>
      <c r="B852" s="108">
        <v>44194</v>
      </c>
      <c r="C852" s="109">
        <v>2</v>
      </c>
    </row>
    <row r="853" spans="1:3" x14ac:dyDescent="0.25">
      <c r="A853" s="1" t="str">
        <f t="shared" si="13"/>
        <v>quarta-feira</v>
      </c>
      <c r="B853" s="108">
        <v>44195</v>
      </c>
      <c r="C853" s="109">
        <v>2</v>
      </c>
    </row>
    <row r="854" spans="1:3" x14ac:dyDescent="0.25">
      <c r="A854" s="1" t="str">
        <f t="shared" si="13"/>
        <v>quinta-feira</v>
      </c>
      <c r="B854" s="108">
        <v>44196</v>
      </c>
      <c r="C854" s="109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4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99</v>
      </c>
      <c r="B1" t="s">
        <v>100</v>
      </c>
    </row>
    <row r="2" spans="1:2" x14ac:dyDescent="0.25">
      <c r="A2">
        <v>1</v>
      </c>
      <c r="B2">
        <v>120</v>
      </c>
    </row>
    <row r="3" spans="1:2" x14ac:dyDescent="0.25">
      <c r="A3">
        <v>2</v>
      </c>
      <c r="B3">
        <v>200</v>
      </c>
    </row>
    <row r="4" spans="1:2" x14ac:dyDescent="0.25">
      <c r="A4">
        <v>3</v>
      </c>
      <c r="B4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2"/>
  <sheetViews>
    <sheetView workbookViewId="0">
      <selection activeCell="A4" sqref="A3:XFD4"/>
    </sheetView>
  </sheetViews>
  <sheetFormatPr defaultRowHeight="15" x14ac:dyDescent="0.25"/>
  <cols>
    <col min="1" max="1" width="10.140625" bestFit="1" customWidth="1"/>
    <col min="2" max="2" width="12" bestFit="1" customWidth="1"/>
    <col min="3" max="4" width="14.28515625" bestFit="1" customWidth="1"/>
  </cols>
  <sheetData>
    <row r="1" spans="1:4" x14ac:dyDescent="0.25">
      <c r="A1" t="s">
        <v>91</v>
      </c>
      <c r="B1" t="s">
        <v>12</v>
      </c>
      <c r="C1" t="s">
        <v>92</v>
      </c>
      <c r="D1" t="s">
        <v>93</v>
      </c>
    </row>
    <row r="2" spans="1:4" x14ac:dyDescent="0.25">
      <c r="A2">
        <v>1</v>
      </c>
      <c r="B2" t="s">
        <v>110</v>
      </c>
      <c r="C2">
        <v>22229946838</v>
      </c>
      <c r="D2" t="s">
        <v>111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B9"/>
  <sheetViews>
    <sheetView workbookViewId="0">
      <selection activeCell="B9" sqref="B9"/>
    </sheetView>
  </sheetViews>
  <sheetFormatPr defaultRowHeight="15" x14ac:dyDescent="0.25"/>
  <cols>
    <col min="1" max="1" width="19.42578125" customWidth="1"/>
    <col min="2" max="2" width="16.28515625" customWidth="1"/>
  </cols>
  <sheetData>
    <row r="1" spans="1:2" ht="15.75" x14ac:dyDescent="0.25">
      <c r="A1" s="10" t="s">
        <v>21</v>
      </c>
      <c r="B1" s="11">
        <f>'Novembro 2017'!E32+'Dezembro 2017'!E33+'Janeiro 2018'!E33+Fevereiro!E31+Março!E33+Abril!E33+Maio!E33+Junho!E33+Julho!E33+Total!E33+Agosto!E33+Setembro!E33+Outubro!E33</f>
        <v>48628</v>
      </c>
    </row>
    <row r="3" spans="1:2" x14ac:dyDescent="0.25">
      <c r="A3" t="s">
        <v>70</v>
      </c>
      <c r="B3" s="76">
        <f>350*12</f>
        <v>4200</v>
      </c>
    </row>
    <row r="4" spans="1:2" x14ac:dyDescent="0.25">
      <c r="A4" t="s">
        <v>28</v>
      </c>
      <c r="B4" s="76">
        <v>2937</v>
      </c>
    </row>
    <row r="5" spans="1:2" x14ac:dyDescent="0.25">
      <c r="A5" t="s">
        <v>71</v>
      </c>
      <c r="B5" s="76">
        <f>12*50</f>
        <v>600</v>
      </c>
    </row>
    <row r="6" spans="1:2" x14ac:dyDescent="0.25">
      <c r="A6" t="s">
        <v>74</v>
      </c>
      <c r="B6" s="76">
        <v>1200</v>
      </c>
    </row>
    <row r="7" spans="1:2" x14ac:dyDescent="0.25">
      <c r="A7" s="5" t="s">
        <v>72</v>
      </c>
      <c r="B7" s="77">
        <f>SUM(B3:B6)</f>
        <v>8937</v>
      </c>
    </row>
    <row r="9" spans="1:2" ht="15.75" x14ac:dyDescent="0.25">
      <c r="A9" s="10" t="s">
        <v>73</v>
      </c>
      <c r="B9" s="78">
        <f>B1-B7</f>
        <v>39691</v>
      </c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H32"/>
  <sheetViews>
    <sheetView workbookViewId="0">
      <selection activeCell="N23" sqref="N23"/>
    </sheetView>
  </sheetViews>
  <sheetFormatPr defaultRowHeight="15" x14ac:dyDescent="0.25"/>
  <cols>
    <col min="1" max="1" width="16.5703125" customWidth="1"/>
    <col min="2" max="2" width="7.5703125" customWidth="1"/>
    <col min="3" max="3" width="26.28515625" customWidth="1"/>
    <col min="4" max="4" width="17.140625" customWidth="1"/>
    <col min="5" max="5" width="12.140625" customWidth="1"/>
    <col min="6" max="7" width="10.5703125" bestFit="1" customWidth="1"/>
  </cols>
  <sheetData>
    <row r="1" spans="1:8" x14ac:dyDescent="0.25">
      <c r="A1" s="4" t="s">
        <v>0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2017</v>
      </c>
    </row>
    <row r="2" spans="1:8" x14ac:dyDescent="0.25">
      <c r="A2" t="s">
        <v>1</v>
      </c>
      <c r="B2" s="1">
        <v>1</v>
      </c>
      <c r="E2" s="8"/>
      <c r="F2" s="8"/>
      <c r="G2" s="8"/>
    </row>
    <row r="3" spans="1:8" x14ac:dyDescent="0.25">
      <c r="A3" s="6" t="s">
        <v>2</v>
      </c>
      <c r="B3" s="7">
        <v>2</v>
      </c>
      <c r="C3" s="6" t="s">
        <v>14</v>
      </c>
      <c r="D3" s="7" t="s">
        <v>13</v>
      </c>
      <c r="E3" s="9">
        <v>700</v>
      </c>
      <c r="F3" s="18" t="s">
        <v>31</v>
      </c>
      <c r="G3" s="9"/>
    </row>
    <row r="4" spans="1:8" x14ac:dyDescent="0.25">
      <c r="A4" s="6" t="s">
        <v>3</v>
      </c>
      <c r="B4" s="7">
        <v>3</v>
      </c>
      <c r="C4" s="6"/>
      <c r="D4" s="7"/>
      <c r="E4" s="9"/>
      <c r="F4" s="9"/>
      <c r="G4" s="9"/>
    </row>
    <row r="5" spans="1:8" x14ac:dyDescent="0.25">
      <c r="A5" s="6" t="s">
        <v>4</v>
      </c>
      <c r="B5" s="7">
        <v>4</v>
      </c>
      <c r="C5" s="6"/>
      <c r="D5" s="7"/>
      <c r="E5" s="9"/>
      <c r="F5" s="9"/>
      <c r="G5" s="9"/>
    </row>
    <row r="6" spans="1:8" x14ac:dyDescent="0.25">
      <c r="A6" s="6" t="s">
        <v>5</v>
      </c>
      <c r="B6" s="7">
        <v>5</v>
      </c>
      <c r="C6" s="6"/>
      <c r="D6" s="7"/>
      <c r="E6" s="9"/>
      <c r="F6" s="9"/>
      <c r="G6" s="9"/>
    </row>
    <row r="7" spans="1:8" x14ac:dyDescent="0.25">
      <c r="A7" s="6" t="s">
        <v>6</v>
      </c>
      <c r="B7" s="7">
        <v>6</v>
      </c>
      <c r="C7" s="6"/>
      <c r="D7" s="7"/>
      <c r="E7" s="9"/>
      <c r="F7" s="9"/>
      <c r="G7" s="9"/>
    </row>
    <row r="8" spans="1:8" x14ac:dyDescent="0.25">
      <c r="A8" t="s">
        <v>7</v>
      </c>
      <c r="B8" s="1">
        <v>7</v>
      </c>
      <c r="D8" s="1"/>
      <c r="E8" s="8"/>
      <c r="F8" s="8"/>
      <c r="G8" s="8"/>
    </row>
    <row r="9" spans="1:8" x14ac:dyDescent="0.25">
      <c r="A9" t="s">
        <v>1</v>
      </c>
      <c r="B9" s="1">
        <v>8</v>
      </c>
      <c r="D9" s="1"/>
      <c r="E9" s="8"/>
      <c r="F9" s="8"/>
      <c r="G9" s="8"/>
    </row>
    <row r="10" spans="1:8" x14ac:dyDescent="0.25">
      <c r="A10" s="20" t="s">
        <v>2</v>
      </c>
      <c r="B10" s="21">
        <v>9</v>
      </c>
      <c r="C10" s="20" t="s">
        <v>32</v>
      </c>
      <c r="D10" s="21"/>
      <c r="E10" s="23">
        <v>610</v>
      </c>
      <c r="F10" s="28" t="s">
        <v>31</v>
      </c>
      <c r="G10" s="23"/>
    </row>
    <row r="11" spans="1:8" x14ac:dyDescent="0.25">
      <c r="A11" s="20" t="s">
        <v>3</v>
      </c>
      <c r="B11" s="21">
        <v>10</v>
      </c>
      <c r="C11" s="20" t="s">
        <v>28</v>
      </c>
      <c r="D11" s="21"/>
      <c r="E11" s="22"/>
      <c r="F11" s="22"/>
      <c r="G11" s="22"/>
    </row>
    <row r="12" spans="1:8" x14ac:dyDescent="0.25">
      <c r="A12" s="20" t="s">
        <v>4</v>
      </c>
      <c r="B12" s="21">
        <v>11</v>
      </c>
      <c r="C12" s="20"/>
      <c r="D12" s="21"/>
      <c r="E12" s="22"/>
      <c r="F12" s="22"/>
      <c r="G12" s="22"/>
    </row>
    <row r="13" spans="1:8" x14ac:dyDescent="0.25">
      <c r="A13" s="20" t="s">
        <v>5</v>
      </c>
      <c r="B13" s="21">
        <v>12</v>
      </c>
      <c r="C13" s="20"/>
      <c r="D13" s="21"/>
      <c r="E13" s="22"/>
      <c r="F13" s="22"/>
      <c r="G13" s="22"/>
    </row>
    <row r="14" spans="1:8" x14ac:dyDescent="0.25">
      <c r="A14" s="6" t="s">
        <v>6</v>
      </c>
      <c r="B14" s="7">
        <v>13</v>
      </c>
      <c r="C14" s="6" t="s">
        <v>34</v>
      </c>
      <c r="D14" s="7"/>
      <c r="E14" s="24">
        <v>700</v>
      </c>
      <c r="F14" s="29" t="s">
        <v>31</v>
      </c>
      <c r="G14" s="24"/>
    </row>
    <row r="15" spans="1:8" x14ac:dyDescent="0.25">
      <c r="A15" s="6" t="s">
        <v>7</v>
      </c>
      <c r="B15" s="7">
        <v>14</v>
      </c>
      <c r="C15" s="6"/>
      <c r="D15" s="7"/>
      <c r="E15" s="9"/>
      <c r="F15" s="9"/>
      <c r="G15" s="9"/>
    </row>
    <row r="16" spans="1:8" x14ac:dyDescent="0.25">
      <c r="A16" s="6" t="s">
        <v>1</v>
      </c>
      <c r="B16" s="7">
        <v>15</v>
      </c>
      <c r="C16" s="6"/>
      <c r="D16" s="7"/>
      <c r="E16" s="9"/>
      <c r="F16" s="9"/>
      <c r="G16" s="9"/>
    </row>
    <row r="17" spans="1:7" x14ac:dyDescent="0.25">
      <c r="A17" s="6" t="s">
        <v>2</v>
      </c>
      <c r="B17" s="7">
        <v>16</v>
      </c>
      <c r="C17" s="6"/>
      <c r="D17" s="7"/>
      <c r="E17" s="9"/>
      <c r="F17" s="9"/>
      <c r="G17" s="9"/>
    </row>
    <row r="18" spans="1:7" x14ac:dyDescent="0.25">
      <c r="A18" s="25" t="s">
        <v>3</v>
      </c>
      <c r="B18" s="26">
        <v>17</v>
      </c>
      <c r="C18" s="25"/>
      <c r="D18" s="26"/>
      <c r="E18" s="27"/>
      <c r="F18" s="27"/>
      <c r="G18" s="27"/>
    </row>
    <row r="19" spans="1:7" x14ac:dyDescent="0.25">
      <c r="A19" s="6" t="s">
        <v>4</v>
      </c>
      <c r="B19" s="7">
        <v>18</v>
      </c>
      <c r="C19" s="6" t="s">
        <v>15</v>
      </c>
      <c r="D19" s="7" t="s">
        <v>19</v>
      </c>
      <c r="E19" s="9">
        <v>400</v>
      </c>
      <c r="F19" s="18" t="s">
        <v>31</v>
      </c>
      <c r="G19" s="9"/>
    </row>
    <row r="20" spans="1:7" x14ac:dyDescent="0.25">
      <c r="A20" s="6" t="s">
        <v>5</v>
      </c>
      <c r="B20" s="7">
        <v>19</v>
      </c>
      <c r="C20" s="6"/>
      <c r="D20" s="7"/>
      <c r="E20" s="9"/>
      <c r="F20" s="9"/>
      <c r="G20" s="9"/>
    </row>
    <row r="21" spans="1:7" x14ac:dyDescent="0.25">
      <c r="A21" s="30"/>
      <c r="B21" s="31"/>
      <c r="C21" s="30"/>
      <c r="D21" s="31"/>
      <c r="E21" s="32"/>
      <c r="F21" s="32"/>
      <c r="G21" s="32"/>
    </row>
    <row r="22" spans="1:7" x14ac:dyDescent="0.25">
      <c r="A22" s="33"/>
      <c r="B22" s="34"/>
      <c r="C22" s="33"/>
      <c r="D22" s="34"/>
      <c r="E22" s="35"/>
      <c r="F22" s="35"/>
      <c r="G22" s="35"/>
    </row>
    <row r="23" spans="1:7" x14ac:dyDescent="0.25">
      <c r="A23" s="33"/>
      <c r="B23" s="34"/>
      <c r="C23" s="33"/>
      <c r="D23" s="34"/>
      <c r="E23" s="35"/>
      <c r="F23" s="35"/>
      <c r="G23" s="35"/>
    </row>
    <row r="24" spans="1:7" x14ac:dyDescent="0.25">
      <c r="A24" t="s">
        <v>2</v>
      </c>
      <c r="B24" s="1">
        <v>23</v>
      </c>
      <c r="D24" s="1"/>
      <c r="E24" s="8"/>
      <c r="F24" s="8"/>
      <c r="G24" s="8"/>
    </row>
    <row r="25" spans="1:7" x14ac:dyDescent="0.25">
      <c r="A25" s="6" t="s">
        <v>3</v>
      </c>
      <c r="B25" s="7">
        <v>24</v>
      </c>
      <c r="C25" s="6" t="s">
        <v>26</v>
      </c>
      <c r="D25" s="7"/>
      <c r="E25" s="9">
        <v>580</v>
      </c>
      <c r="F25" s="18" t="s">
        <v>31</v>
      </c>
      <c r="G25" s="9"/>
    </row>
    <row r="26" spans="1:7" x14ac:dyDescent="0.25">
      <c r="A26" s="6" t="s">
        <v>4</v>
      </c>
      <c r="B26" s="7">
        <v>25</v>
      </c>
      <c r="C26" s="6"/>
      <c r="D26" s="7"/>
      <c r="E26" s="9"/>
      <c r="F26" s="9"/>
      <c r="G26" s="9"/>
    </row>
    <row r="27" spans="1:7" x14ac:dyDescent="0.25">
      <c r="A27" s="6" t="s">
        <v>5</v>
      </c>
      <c r="B27" s="7">
        <v>26</v>
      </c>
      <c r="C27" s="6"/>
      <c r="D27" s="7"/>
      <c r="E27" s="9"/>
      <c r="F27" s="9"/>
      <c r="G27" s="9"/>
    </row>
    <row r="28" spans="1:7" x14ac:dyDescent="0.25">
      <c r="A28" s="12" t="s">
        <v>6</v>
      </c>
      <c r="B28" s="13">
        <v>27</v>
      </c>
      <c r="C28" s="12"/>
      <c r="D28" s="13"/>
      <c r="E28" s="14"/>
      <c r="F28" s="14"/>
      <c r="G28" s="14"/>
    </row>
    <row r="29" spans="1:7" x14ac:dyDescent="0.25">
      <c r="A29" t="s">
        <v>7</v>
      </c>
      <c r="B29" s="1">
        <v>28</v>
      </c>
      <c r="D29" s="1"/>
      <c r="E29" s="8"/>
      <c r="F29" s="8"/>
      <c r="G29" s="8"/>
    </row>
    <row r="30" spans="1:7" x14ac:dyDescent="0.25">
      <c r="A30" t="s">
        <v>1</v>
      </c>
      <c r="B30" s="1">
        <v>29</v>
      </c>
      <c r="D30" s="1"/>
      <c r="E30" s="8"/>
      <c r="F30" s="8"/>
      <c r="G30" s="8"/>
    </row>
    <row r="31" spans="1:7" x14ac:dyDescent="0.25">
      <c r="A31" t="s">
        <v>2</v>
      </c>
      <c r="B31" s="1">
        <v>30</v>
      </c>
      <c r="D31" s="1"/>
      <c r="E31" s="8"/>
      <c r="F31" s="8"/>
      <c r="G31" s="8"/>
    </row>
    <row r="32" spans="1:7" x14ac:dyDescent="0.25">
      <c r="D32" t="s">
        <v>21</v>
      </c>
      <c r="E32" s="8">
        <f>SUM(E2:E31)</f>
        <v>2990</v>
      </c>
      <c r="F32" s="8"/>
      <c r="G32" s="8"/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H33"/>
  <sheetViews>
    <sheetView workbookViewId="0">
      <selection activeCell="C27" sqref="C27"/>
    </sheetView>
  </sheetViews>
  <sheetFormatPr defaultRowHeight="15" x14ac:dyDescent="0.25"/>
  <cols>
    <col min="3" max="3" width="30" customWidth="1"/>
    <col min="4" max="4" width="13.7109375" customWidth="1"/>
    <col min="5" max="5" width="14" customWidth="1"/>
    <col min="6" max="6" width="12.140625" bestFit="1" customWidth="1"/>
    <col min="7" max="7" width="12.85546875" customWidth="1"/>
  </cols>
  <sheetData>
    <row r="1" spans="1:8" x14ac:dyDescent="0.25">
      <c r="A1" s="4" t="s">
        <v>17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2017</v>
      </c>
    </row>
    <row r="2" spans="1:8" x14ac:dyDescent="0.25">
      <c r="A2" t="s">
        <v>3</v>
      </c>
      <c r="B2" s="1">
        <v>1</v>
      </c>
      <c r="E2" s="8"/>
      <c r="F2" s="8"/>
      <c r="G2" s="8"/>
    </row>
    <row r="3" spans="1:8" x14ac:dyDescent="0.25">
      <c r="A3" t="s">
        <v>4</v>
      </c>
      <c r="B3" s="1">
        <v>2</v>
      </c>
      <c r="E3" s="8"/>
      <c r="F3" s="8"/>
      <c r="G3" s="8"/>
    </row>
    <row r="4" spans="1:8" x14ac:dyDescent="0.25">
      <c r="A4" t="s">
        <v>5</v>
      </c>
      <c r="B4" s="1">
        <v>3</v>
      </c>
      <c r="E4" s="8"/>
      <c r="F4" s="8"/>
      <c r="G4" s="8"/>
    </row>
    <row r="5" spans="1:8" x14ac:dyDescent="0.25">
      <c r="A5" t="s">
        <v>6</v>
      </c>
      <c r="B5" s="1">
        <v>4</v>
      </c>
      <c r="E5" s="8"/>
      <c r="F5" s="8"/>
      <c r="G5" s="8"/>
    </row>
    <row r="6" spans="1:8" x14ac:dyDescent="0.25">
      <c r="A6" t="s">
        <v>7</v>
      </c>
      <c r="B6" s="1">
        <v>5</v>
      </c>
      <c r="E6" s="8"/>
      <c r="F6" s="8"/>
      <c r="G6" s="8"/>
    </row>
    <row r="7" spans="1:8" x14ac:dyDescent="0.25">
      <c r="A7" t="s">
        <v>1</v>
      </c>
      <c r="B7" s="1">
        <v>6</v>
      </c>
      <c r="E7" s="8"/>
      <c r="F7" s="8"/>
      <c r="G7" s="8"/>
    </row>
    <row r="8" spans="1:8" x14ac:dyDescent="0.25">
      <c r="A8" t="s">
        <v>2</v>
      </c>
      <c r="B8" s="1">
        <v>7</v>
      </c>
      <c r="E8" s="8"/>
      <c r="F8" s="8"/>
      <c r="G8" s="8"/>
    </row>
    <row r="9" spans="1:8" x14ac:dyDescent="0.25">
      <c r="A9" s="6" t="s">
        <v>3</v>
      </c>
      <c r="B9" s="7">
        <v>8</v>
      </c>
      <c r="C9" s="6" t="s">
        <v>18</v>
      </c>
      <c r="D9" s="6" t="s">
        <v>20</v>
      </c>
      <c r="E9" s="9">
        <v>400</v>
      </c>
      <c r="F9" s="18" t="s">
        <v>31</v>
      </c>
      <c r="G9" s="9">
        <v>0</v>
      </c>
      <c r="H9" s="12"/>
    </row>
    <row r="10" spans="1:8" x14ac:dyDescent="0.25">
      <c r="A10" s="6" t="s">
        <v>4</v>
      </c>
      <c r="B10" s="7">
        <v>9</v>
      </c>
      <c r="C10" s="6"/>
      <c r="D10" s="6"/>
      <c r="E10" s="9"/>
      <c r="F10" s="9"/>
      <c r="G10" s="9"/>
      <c r="H10" s="12"/>
    </row>
    <row r="11" spans="1:8" x14ac:dyDescent="0.25">
      <c r="A11" s="6" t="s">
        <v>5</v>
      </c>
      <c r="B11" s="7">
        <v>10</v>
      </c>
      <c r="C11" s="6"/>
      <c r="D11" s="6"/>
      <c r="E11" s="9"/>
      <c r="F11" s="9"/>
      <c r="G11" s="9"/>
      <c r="H11" s="12"/>
    </row>
    <row r="12" spans="1:8" x14ac:dyDescent="0.25">
      <c r="A12" t="s">
        <v>6</v>
      </c>
      <c r="B12" s="1">
        <v>11</v>
      </c>
      <c r="E12" s="8"/>
      <c r="F12" s="8"/>
      <c r="G12" s="8"/>
    </row>
    <row r="13" spans="1:8" x14ac:dyDescent="0.25">
      <c r="A13" t="s">
        <v>7</v>
      </c>
      <c r="B13" s="1">
        <v>12</v>
      </c>
      <c r="E13" s="8"/>
      <c r="F13" s="8"/>
      <c r="G13" s="8"/>
    </row>
    <row r="14" spans="1:8" x14ac:dyDescent="0.25">
      <c r="A14" t="s">
        <v>1</v>
      </c>
      <c r="B14" s="1">
        <v>13</v>
      </c>
      <c r="E14" s="8"/>
      <c r="F14" s="8"/>
      <c r="G14" s="8"/>
    </row>
    <row r="15" spans="1:8" x14ac:dyDescent="0.25">
      <c r="A15" t="s">
        <v>2</v>
      </c>
      <c r="B15" s="1">
        <v>14</v>
      </c>
      <c r="E15" s="8"/>
      <c r="F15" s="8"/>
      <c r="G15" s="8"/>
    </row>
    <row r="16" spans="1:8" x14ac:dyDescent="0.25">
      <c r="A16" s="12" t="s">
        <v>3</v>
      </c>
      <c r="B16" s="13">
        <v>15</v>
      </c>
      <c r="C16" s="12"/>
      <c r="D16" s="12"/>
      <c r="E16" s="14"/>
      <c r="F16" s="14"/>
      <c r="G16" s="14"/>
      <c r="H16" s="12"/>
    </row>
    <row r="17" spans="1:8" x14ac:dyDescent="0.25">
      <c r="A17" s="36" t="s">
        <v>4</v>
      </c>
      <c r="B17" s="37">
        <v>16</v>
      </c>
      <c r="C17" s="36" t="s">
        <v>36</v>
      </c>
      <c r="D17" s="36"/>
      <c r="E17" s="39">
        <v>1000</v>
      </c>
      <c r="F17" s="29" t="s">
        <v>31</v>
      </c>
      <c r="G17" s="39"/>
      <c r="H17" s="12"/>
    </row>
    <row r="18" spans="1:8" x14ac:dyDescent="0.25">
      <c r="A18" s="36" t="s">
        <v>5</v>
      </c>
      <c r="B18" s="37">
        <v>17</v>
      </c>
      <c r="C18" s="36"/>
      <c r="D18" s="36"/>
      <c r="E18" s="38"/>
      <c r="F18" s="38"/>
      <c r="G18" s="38"/>
      <c r="H18" s="12"/>
    </row>
    <row r="19" spans="1:8" x14ac:dyDescent="0.25">
      <c r="A19" s="36" t="s">
        <v>6</v>
      </c>
      <c r="B19" s="37">
        <v>18</v>
      </c>
      <c r="C19" s="36"/>
      <c r="D19" s="36"/>
      <c r="E19" s="38"/>
      <c r="F19" s="38"/>
      <c r="G19" s="38"/>
    </row>
    <row r="20" spans="1:8" x14ac:dyDescent="0.25">
      <c r="A20" s="36" t="s">
        <v>7</v>
      </c>
      <c r="B20" s="37">
        <v>19</v>
      </c>
      <c r="C20" s="36"/>
      <c r="D20" s="36"/>
      <c r="E20" s="38"/>
      <c r="F20" s="38"/>
      <c r="G20" s="38"/>
    </row>
    <row r="21" spans="1:8" x14ac:dyDescent="0.25">
      <c r="A21" s="36" t="s">
        <v>1</v>
      </c>
      <c r="B21" s="37">
        <v>20</v>
      </c>
      <c r="C21" s="36"/>
      <c r="D21" s="36"/>
      <c r="E21" s="38"/>
      <c r="F21" s="38"/>
      <c r="G21" s="38"/>
    </row>
    <row r="22" spans="1:8" x14ac:dyDescent="0.25">
      <c r="A22" s="36" t="s">
        <v>2</v>
      </c>
      <c r="B22" s="37">
        <v>21</v>
      </c>
      <c r="C22" s="36"/>
      <c r="D22" s="36"/>
      <c r="E22" s="38"/>
      <c r="F22" s="38"/>
      <c r="G22" s="38"/>
    </row>
    <row r="23" spans="1:8" x14ac:dyDescent="0.25">
      <c r="A23" s="20" t="s">
        <v>3</v>
      </c>
      <c r="B23" s="21">
        <v>22</v>
      </c>
      <c r="C23" s="20" t="s">
        <v>33</v>
      </c>
      <c r="D23" s="20"/>
      <c r="E23" s="23">
        <v>2000</v>
      </c>
      <c r="F23" s="18" t="s">
        <v>31</v>
      </c>
      <c r="G23" s="22"/>
    </row>
    <row r="24" spans="1:8" x14ac:dyDescent="0.25">
      <c r="A24" s="20" t="s">
        <v>4</v>
      </c>
      <c r="B24" s="21">
        <v>23</v>
      </c>
      <c r="C24" s="20" t="s">
        <v>28</v>
      </c>
      <c r="D24" s="20"/>
      <c r="E24" s="22"/>
      <c r="F24" s="22"/>
      <c r="G24" s="22"/>
    </row>
    <row r="25" spans="1:8" x14ac:dyDescent="0.25">
      <c r="A25" s="20" t="s">
        <v>5</v>
      </c>
      <c r="B25" s="21">
        <v>24</v>
      </c>
      <c r="C25" s="20"/>
      <c r="D25" s="20"/>
      <c r="E25" s="22"/>
      <c r="F25" s="22"/>
      <c r="G25" s="22"/>
    </row>
    <row r="26" spans="1:8" x14ac:dyDescent="0.25">
      <c r="A26" s="20" t="s">
        <v>6</v>
      </c>
      <c r="B26" s="21">
        <v>25</v>
      </c>
      <c r="C26" s="20"/>
      <c r="D26" s="20"/>
      <c r="E26" s="22"/>
      <c r="F26" s="22"/>
      <c r="G26" s="22"/>
    </row>
    <row r="27" spans="1:8" x14ac:dyDescent="0.25">
      <c r="A27" s="20" t="s">
        <v>7</v>
      </c>
      <c r="B27" s="21">
        <v>26</v>
      </c>
      <c r="C27" s="20"/>
      <c r="D27" s="20"/>
      <c r="E27" s="22"/>
      <c r="F27" s="22"/>
      <c r="G27" s="22"/>
    </row>
    <row r="28" spans="1:8" x14ac:dyDescent="0.25">
      <c r="A28" s="6" t="s">
        <v>1</v>
      </c>
      <c r="B28" s="7">
        <v>27</v>
      </c>
      <c r="C28" s="6" t="s">
        <v>30</v>
      </c>
      <c r="D28" s="6"/>
      <c r="E28" s="24">
        <v>2650</v>
      </c>
      <c r="F28" s="18" t="s">
        <v>31</v>
      </c>
      <c r="G28" s="24"/>
    </row>
    <row r="29" spans="1:8" x14ac:dyDescent="0.25">
      <c r="A29" s="6" t="s">
        <v>2</v>
      </c>
      <c r="B29" s="7">
        <v>28</v>
      </c>
      <c r="C29" s="6"/>
      <c r="D29" s="6"/>
      <c r="E29" s="9"/>
      <c r="F29" s="9"/>
      <c r="G29" s="9"/>
    </row>
    <row r="30" spans="1:8" x14ac:dyDescent="0.25">
      <c r="A30" s="6" t="s">
        <v>3</v>
      </c>
      <c r="B30" s="7">
        <v>29</v>
      </c>
      <c r="C30" s="6"/>
      <c r="D30" s="6"/>
      <c r="E30" s="9"/>
      <c r="F30" s="9"/>
      <c r="G30" s="9"/>
    </row>
    <row r="31" spans="1:8" x14ac:dyDescent="0.25">
      <c r="A31" s="6" t="s">
        <v>4</v>
      </c>
      <c r="B31" s="7">
        <v>30</v>
      </c>
      <c r="C31" s="6"/>
      <c r="D31" s="6"/>
      <c r="E31" s="9"/>
      <c r="F31" s="9"/>
      <c r="G31" s="9"/>
    </row>
    <row r="32" spans="1:8" x14ac:dyDescent="0.25">
      <c r="A32" s="6" t="s">
        <v>5</v>
      </c>
      <c r="B32" s="7">
        <v>31</v>
      </c>
      <c r="C32" s="6"/>
      <c r="D32" s="6"/>
      <c r="E32" s="9"/>
      <c r="F32" s="9"/>
      <c r="G32" s="9"/>
    </row>
    <row r="33" spans="4:7" x14ac:dyDescent="0.25">
      <c r="D33" t="s">
        <v>21</v>
      </c>
      <c r="E33" s="8">
        <f>SUM(E2:E32)</f>
        <v>6050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H33"/>
  <sheetViews>
    <sheetView topLeftCell="A10" workbookViewId="0">
      <selection activeCell="J31" sqref="J31"/>
    </sheetView>
  </sheetViews>
  <sheetFormatPr defaultRowHeight="15" x14ac:dyDescent="0.25"/>
  <cols>
    <col min="1" max="1" width="10.85546875" customWidth="1"/>
    <col min="3" max="3" width="32" customWidth="1"/>
    <col min="4" max="4" width="16" customWidth="1"/>
    <col min="5" max="7" width="12.140625" bestFit="1" customWidth="1"/>
  </cols>
  <sheetData>
    <row r="1" spans="1:8" x14ac:dyDescent="0.25">
      <c r="A1" s="4" t="s">
        <v>16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6" t="s">
        <v>6</v>
      </c>
      <c r="B2" s="7">
        <v>1</v>
      </c>
      <c r="C2" s="6" t="s">
        <v>30</v>
      </c>
      <c r="D2" s="6"/>
      <c r="E2" s="9"/>
      <c r="F2" s="9"/>
      <c r="G2" s="9"/>
    </row>
    <row r="3" spans="1:8" x14ac:dyDescent="0.25">
      <c r="A3" s="6" t="s">
        <v>7</v>
      </c>
      <c r="B3" s="7">
        <v>2</v>
      </c>
      <c r="C3" s="6"/>
      <c r="D3" s="6"/>
      <c r="E3" s="9"/>
      <c r="F3" s="9"/>
      <c r="G3" s="9"/>
    </row>
    <row r="4" spans="1:8" x14ac:dyDescent="0.25">
      <c r="A4" t="s">
        <v>1</v>
      </c>
      <c r="B4" s="1">
        <v>3</v>
      </c>
      <c r="E4" s="8"/>
      <c r="F4" s="8"/>
      <c r="G4" s="8"/>
    </row>
    <row r="5" spans="1:8" x14ac:dyDescent="0.25">
      <c r="A5" s="6" t="s">
        <v>2</v>
      </c>
      <c r="B5" s="7">
        <v>4</v>
      </c>
      <c r="C5" s="6" t="s">
        <v>23</v>
      </c>
      <c r="D5" s="6" t="s">
        <v>25</v>
      </c>
      <c r="E5" s="9">
        <v>1300</v>
      </c>
      <c r="F5" s="18" t="s">
        <v>31</v>
      </c>
      <c r="G5" s="9"/>
    </row>
    <row r="6" spans="1:8" x14ac:dyDescent="0.25">
      <c r="A6" s="6" t="s">
        <v>3</v>
      </c>
      <c r="B6" s="7">
        <v>5</v>
      </c>
      <c r="C6" s="6"/>
      <c r="D6" s="6"/>
      <c r="E6" s="9"/>
      <c r="F6" s="9"/>
      <c r="G6" s="9"/>
    </row>
    <row r="7" spans="1:8" x14ac:dyDescent="0.25">
      <c r="A7" s="6" t="s">
        <v>4</v>
      </c>
      <c r="B7" s="7">
        <v>6</v>
      </c>
      <c r="C7" s="6"/>
      <c r="D7" s="6"/>
      <c r="E7" s="9"/>
      <c r="F7" s="9"/>
      <c r="G7" s="9"/>
    </row>
    <row r="8" spans="1:8" x14ac:dyDescent="0.25">
      <c r="A8" s="6" t="s">
        <v>5</v>
      </c>
      <c r="B8" s="7">
        <v>7</v>
      </c>
      <c r="C8" s="6"/>
      <c r="D8" s="6"/>
      <c r="E8" s="9"/>
      <c r="F8" s="9"/>
      <c r="G8" s="9"/>
    </row>
    <row r="9" spans="1:8" x14ac:dyDescent="0.25">
      <c r="A9" s="6" t="s">
        <v>6</v>
      </c>
      <c r="B9" s="7">
        <v>8</v>
      </c>
      <c r="C9" s="6"/>
      <c r="D9" s="6"/>
      <c r="E9" s="9"/>
      <c r="F9" s="9"/>
      <c r="G9" s="9"/>
    </row>
    <row r="10" spans="1:8" x14ac:dyDescent="0.25">
      <c r="A10" s="6" t="s">
        <v>7</v>
      </c>
      <c r="B10" s="7">
        <v>9</v>
      </c>
      <c r="C10" s="6"/>
      <c r="D10" s="6"/>
      <c r="E10" s="9"/>
      <c r="F10" s="9"/>
      <c r="G10" s="9"/>
    </row>
    <row r="11" spans="1:8" x14ac:dyDescent="0.25">
      <c r="A11" s="15" t="s">
        <v>1</v>
      </c>
      <c r="B11" s="16">
        <v>10</v>
      </c>
      <c r="C11" s="15" t="s">
        <v>27</v>
      </c>
      <c r="D11" s="15" t="s">
        <v>29</v>
      </c>
      <c r="E11" s="17">
        <v>1500</v>
      </c>
      <c r="F11" s="29" t="s">
        <v>31</v>
      </c>
      <c r="G11" s="19"/>
    </row>
    <row r="12" spans="1:8" x14ac:dyDescent="0.25">
      <c r="A12" s="15" t="s">
        <v>2</v>
      </c>
      <c r="B12" s="16">
        <v>11</v>
      </c>
      <c r="C12" s="15" t="s">
        <v>28</v>
      </c>
      <c r="D12" s="15"/>
      <c r="E12" s="17"/>
      <c r="F12" s="17"/>
      <c r="G12" s="17"/>
    </row>
    <row r="13" spans="1:8" x14ac:dyDescent="0.25">
      <c r="A13" s="15" t="s">
        <v>3</v>
      </c>
      <c r="B13" s="16">
        <v>12</v>
      </c>
      <c r="C13" s="15"/>
      <c r="D13" s="15"/>
      <c r="E13" s="17"/>
      <c r="F13" s="17"/>
      <c r="G13" s="17"/>
    </row>
    <row r="14" spans="1:8" x14ac:dyDescent="0.25">
      <c r="A14" s="15" t="s">
        <v>4</v>
      </c>
      <c r="B14" s="16">
        <v>13</v>
      </c>
      <c r="C14" s="15"/>
      <c r="D14" s="15"/>
      <c r="E14" s="17"/>
      <c r="F14" s="17"/>
      <c r="G14" s="17"/>
    </row>
    <row r="15" spans="1:8" x14ac:dyDescent="0.25">
      <c r="A15" s="15" t="s">
        <v>5</v>
      </c>
      <c r="B15" s="16">
        <v>14</v>
      </c>
      <c r="C15" s="15"/>
      <c r="D15" s="15"/>
      <c r="E15" s="17"/>
      <c r="F15" s="17"/>
      <c r="G15" s="17"/>
    </row>
    <row r="16" spans="1:8" x14ac:dyDescent="0.25">
      <c r="A16" s="15" t="s">
        <v>6</v>
      </c>
      <c r="B16" s="16">
        <v>15</v>
      </c>
      <c r="C16" s="15"/>
      <c r="D16" s="15"/>
      <c r="E16" s="17"/>
      <c r="F16" s="17"/>
      <c r="G16" s="17"/>
    </row>
    <row r="17" spans="1:8" x14ac:dyDescent="0.25">
      <c r="A17" s="6" t="s">
        <v>7</v>
      </c>
      <c r="B17" s="7">
        <v>16</v>
      </c>
      <c r="C17" s="6" t="s">
        <v>47</v>
      </c>
      <c r="D17" s="6" t="s">
        <v>24</v>
      </c>
      <c r="E17" s="9">
        <v>2600</v>
      </c>
      <c r="F17" s="18" t="s">
        <v>31</v>
      </c>
      <c r="G17" s="9"/>
      <c r="H17" s="12"/>
    </row>
    <row r="18" spans="1:8" x14ac:dyDescent="0.25">
      <c r="A18" s="6" t="s">
        <v>1</v>
      </c>
      <c r="B18" s="7">
        <v>17</v>
      </c>
      <c r="C18" s="6"/>
      <c r="D18" s="6"/>
      <c r="E18" s="9"/>
      <c r="F18" s="9"/>
      <c r="G18" s="9"/>
      <c r="H18" s="12"/>
    </row>
    <row r="19" spans="1:8" x14ac:dyDescent="0.25">
      <c r="A19" s="6" t="s">
        <v>2</v>
      </c>
      <c r="B19" s="7">
        <v>18</v>
      </c>
      <c r="C19" s="6"/>
      <c r="D19" s="6"/>
      <c r="E19" s="9"/>
      <c r="F19" s="9"/>
      <c r="G19" s="9"/>
      <c r="H19" s="12"/>
    </row>
    <row r="20" spans="1:8" x14ac:dyDescent="0.25">
      <c r="A20" s="6" t="s">
        <v>3</v>
      </c>
      <c r="B20" s="7">
        <v>19</v>
      </c>
      <c r="C20" s="6"/>
      <c r="D20" s="6"/>
      <c r="E20" s="9"/>
      <c r="F20" s="9"/>
      <c r="G20" s="9"/>
      <c r="H20" s="12"/>
    </row>
    <row r="21" spans="1:8" x14ac:dyDescent="0.25">
      <c r="A21" s="6" t="s">
        <v>4</v>
      </c>
      <c r="B21" s="7">
        <v>20</v>
      </c>
      <c r="C21" s="6"/>
      <c r="D21" s="6"/>
      <c r="E21" s="9"/>
      <c r="F21" s="9"/>
      <c r="G21" s="9"/>
      <c r="H21" s="12"/>
    </row>
    <row r="22" spans="1:8" x14ac:dyDescent="0.25">
      <c r="A22" s="6" t="s">
        <v>5</v>
      </c>
      <c r="B22" s="7">
        <v>21</v>
      </c>
      <c r="C22" s="6"/>
      <c r="D22" s="6"/>
      <c r="E22" s="9"/>
      <c r="F22" s="9"/>
      <c r="G22" s="9"/>
      <c r="H22" s="12"/>
    </row>
    <row r="23" spans="1:8" x14ac:dyDescent="0.25">
      <c r="A23" s="6" t="s">
        <v>6</v>
      </c>
      <c r="B23" s="7">
        <v>22</v>
      </c>
      <c r="C23" s="6"/>
      <c r="D23" s="6"/>
      <c r="E23" s="9"/>
      <c r="F23" s="9"/>
      <c r="G23" s="9"/>
      <c r="H23" s="12"/>
    </row>
    <row r="24" spans="1:8" x14ac:dyDescent="0.25">
      <c r="A24" s="6" t="s">
        <v>7</v>
      </c>
      <c r="B24" s="7">
        <v>23</v>
      </c>
      <c r="C24" s="6"/>
      <c r="D24" s="6"/>
      <c r="E24" s="9"/>
      <c r="F24" s="9"/>
      <c r="G24" s="9"/>
      <c r="H24" s="12"/>
    </row>
    <row r="25" spans="1:8" x14ac:dyDescent="0.25">
      <c r="A25" s="6" t="s">
        <v>1</v>
      </c>
      <c r="B25" s="7">
        <v>24</v>
      </c>
      <c r="C25" s="6"/>
      <c r="D25" s="6"/>
      <c r="E25" s="9"/>
      <c r="F25" s="9"/>
      <c r="G25" s="9"/>
      <c r="H25" s="12"/>
    </row>
    <row r="26" spans="1:8" x14ac:dyDescent="0.25">
      <c r="A26" s="6" t="s">
        <v>2</v>
      </c>
      <c r="B26" s="7">
        <v>25</v>
      </c>
      <c r="C26" s="6"/>
      <c r="D26" s="6"/>
      <c r="E26" s="9"/>
      <c r="F26" s="9"/>
      <c r="G26" s="9"/>
      <c r="H26" s="12"/>
    </row>
    <row r="27" spans="1:8" x14ac:dyDescent="0.25">
      <c r="A27" s="6" t="s">
        <v>3</v>
      </c>
      <c r="B27" s="7">
        <v>26</v>
      </c>
      <c r="C27" s="6"/>
      <c r="D27" s="6"/>
      <c r="E27" s="9"/>
      <c r="F27" s="9"/>
      <c r="G27" s="9"/>
      <c r="H27" s="12"/>
    </row>
    <row r="28" spans="1:8" x14ac:dyDescent="0.25">
      <c r="A28" s="46" t="s">
        <v>4</v>
      </c>
      <c r="B28" s="47">
        <v>27</v>
      </c>
      <c r="C28" s="46" t="s">
        <v>35</v>
      </c>
      <c r="D28" s="46"/>
      <c r="E28" s="51">
        <v>1000</v>
      </c>
      <c r="F28" s="29" t="s">
        <v>31</v>
      </c>
      <c r="G28" s="51"/>
    </row>
    <row r="29" spans="1:8" x14ac:dyDescent="0.25">
      <c r="A29" s="46" t="s">
        <v>5</v>
      </c>
      <c r="B29" s="47">
        <v>28</v>
      </c>
      <c r="C29" s="46" t="s">
        <v>28</v>
      </c>
      <c r="D29" s="46"/>
      <c r="E29" s="41"/>
      <c r="F29" s="41"/>
      <c r="G29" s="41"/>
    </row>
    <row r="30" spans="1:8" x14ac:dyDescent="0.25">
      <c r="A30" s="46" t="s">
        <v>6</v>
      </c>
      <c r="B30" s="47">
        <v>29</v>
      </c>
      <c r="C30" s="46"/>
      <c r="D30" s="46"/>
      <c r="E30" s="41"/>
      <c r="F30" s="41"/>
      <c r="G30" s="41"/>
    </row>
    <row r="31" spans="1:8" x14ac:dyDescent="0.25">
      <c r="A31" s="46" t="s">
        <v>7</v>
      </c>
      <c r="B31" s="47">
        <v>30</v>
      </c>
      <c r="C31" s="46"/>
      <c r="D31" s="46"/>
      <c r="E31" s="41"/>
      <c r="F31" s="41"/>
      <c r="G31" s="41"/>
    </row>
    <row r="32" spans="1:8" x14ac:dyDescent="0.25">
      <c r="A32" s="46" t="s">
        <v>1</v>
      </c>
      <c r="B32" s="47">
        <v>31</v>
      </c>
      <c r="C32" s="46" t="s">
        <v>50</v>
      </c>
      <c r="D32" s="46"/>
      <c r="E32" s="41">
        <v>900</v>
      </c>
      <c r="F32" s="57" t="s">
        <v>31</v>
      </c>
      <c r="G32" s="41"/>
    </row>
    <row r="33" spans="4:7" x14ac:dyDescent="0.25">
      <c r="D33" t="s">
        <v>22</v>
      </c>
      <c r="E33" s="8">
        <f>SUM(E2:E32)</f>
        <v>7300</v>
      </c>
      <c r="F33" s="52"/>
      <c r="G33" s="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H33"/>
  <sheetViews>
    <sheetView workbookViewId="0">
      <selection activeCell="I25" sqref="I25"/>
    </sheetView>
  </sheetViews>
  <sheetFormatPr defaultRowHeight="15" x14ac:dyDescent="0.25"/>
  <cols>
    <col min="1" max="1" width="14" customWidth="1"/>
    <col min="2" max="2" width="7.7109375" customWidth="1"/>
    <col min="3" max="3" width="32.5703125" customWidth="1"/>
    <col min="4" max="4" width="15" customWidth="1"/>
    <col min="5" max="5" width="14.140625" customWidth="1"/>
    <col min="6" max="6" width="13.5703125" customWidth="1"/>
    <col min="7" max="7" width="15.28515625" customWidth="1"/>
  </cols>
  <sheetData>
    <row r="1" spans="1:8" x14ac:dyDescent="0.25">
      <c r="A1" s="4" t="s">
        <v>37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46" t="s">
        <v>2</v>
      </c>
      <c r="B2" s="47">
        <v>1</v>
      </c>
      <c r="C2" s="46" t="s">
        <v>50</v>
      </c>
      <c r="D2" s="46"/>
      <c r="E2" s="41"/>
      <c r="F2" s="41"/>
      <c r="G2" s="41"/>
    </row>
    <row r="3" spans="1:8" x14ac:dyDescent="0.25">
      <c r="A3" s="46" t="s">
        <v>3</v>
      </c>
      <c r="B3" s="47">
        <v>2</v>
      </c>
      <c r="C3" s="46"/>
      <c r="D3" s="46"/>
      <c r="E3" s="41"/>
      <c r="F3" s="41"/>
      <c r="G3" s="41"/>
    </row>
    <row r="4" spans="1:8" x14ac:dyDescent="0.25">
      <c r="A4" s="46" t="s">
        <v>4</v>
      </c>
      <c r="B4" s="47">
        <v>3</v>
      </c>
      <c r="C4" s="46"/>
      <c r="D4" s="46"/>
      <c r="E4" s="41"/>
      <c r="F4" s="41"/>
      <c r="G4" s="41"/>
    </row>
    <row r="5" spans="1:8" x14ac:dyDescent="0.25">
      <c r="A5" s="46" t="s">
        <v>5</v>
      </c>
      <c r="B5" s="47">
        <v>4</v>
      </c>
      <c r="C5" s="46"/>
      <c r="D5" s="46"/>
      <c r="E5" s="41"/>
      <c r="F5" s="41"/>
      <c r="G5" s="41"/>
    </row>
    <row r="6" spans="1:8" x14ac:dyDescent="0.25">
      <c r="A6" s="46" t="s">
        <v>6</v>
      </c>
      <c r="B6" s="47">
        <v>5</v>
      </c>
      <c r="C6" s="46" t="s">
        <v>48</v>
      </c>
      <c r="D6" s="46"/>
      <c r="E6" s="51">
        <v>900</v>
      </c>
      <c r="F6" s="18" t="s">
        <v>31</v>
      </c>
      <c r="G6" s="41"/>
    </row>
    <row r="7" spans="1:8" x14ac:dyDescent="0.25">
      <c r="A7" s="46" t="s">
        <v>7</v>
      </c>
      <c r="B7" s="47">
        <v>6</v>
      </c>
      <c r="C7" s="46"/>
      <c r="D7" s="46"/>
      <c r="E7" s="41"/>
      <c r="F7" s="41"/>
      <c r="G7" s="41"/>
    </row>
    <row r="8" spans="1:8" x14ac:dyDescent="0.25">
      <c r="A8" s="46" t="s">
        <v>1</v>
      </c>
      <c r="B8" s="47">
        <v>7</v>
      </c>
      <c r="C8" s="46"/>
      <c r="D8" s="46"/>
      <c r="E8" s="41"/>
      <c r="F8" s="41"/>
      <c r="G8" s="41"/>
    </row>
    <row r="9" spans="1:8" x14ac:dyDescent="0.25">
      <c r="A9" s="46" t="s">
        <v>2</v>
      </c>
      <c r="B9" s="47">
        <v>8</v>
      </c>
      <c r="C9" s="46"/>
      <c r="D9" s="46"/>
      <c r="E9" s="41"/>
      <c r="F9" s="41"/>
      <c r="G9" s="41"/>
    </row>
    <row r="10" spans="1:8" x14ac:dyDescent="0.25">
      <c r="A10" s="46" t="s">
        <v>3</v>
      </c>
      <c r="B10" s="47">
        <v>9</v>
      </c>
      <c r="C10" s="46" t="s">
        <v>46</v>
      </c>
      <c r="D10" s="46"/>
      <c r="E10" s="51">
        <v>2900</v>
      </c>
      <c r="F10" s="57" t="s">
        <v>31</v>
      </c>
      <c r="G10" s="41"/>
    </row>
    <row r="11" spans="1:8" x14ac:dyDescent="0.25">
      <c r="A11" s="46" t="s">
        <v>4</v>
      </c>
      <c r="B11" s="47">
        <v>10</v>
      </c>
      <c r="C11" s="46"/>
      <c r="D11" s="46"/>
      <c r="E11" s="41"/>
      <c r="F11" s="51"/>
      <c r="G11" s="51"/>
    </row>
    <row r="12" spans="1:8" x14ac:dyDescent="0.25">
      <c r="A12" s="46" t="s">
        <v>5</v>
      </c>
      <c r="B12" s="47">
        <v>11</v>
      </c>
      <c r="C12" s="46"/>
      <c r="D12" s="46"/>
      <c r="E12" s="41"/>
      <c r="F12" s="41"/>
      <c r="G12" s="41"/>
    </row>
    <row r="13" spans="1:8" x14ac:dyDescent="0.25">
      <c r="A13" s="46" t="s">
        <v>6</v>
      </c>
      <c r="B13" s="47">
        <v>12</v>
      </c>
      <c r="C13" s="46"/>
      <c r="D13" s="46"/>
      <c r="E13" s="41"/>
      <c r="F13" s="41"/>
      <c r="G13" s="41"/>
    </row>
    <row r="14" spans="1:8" x14ac:dyDescent="0.25">
      <c r="A14" s="46" t="s">
        <v>7</v>
      </c>
      <c r="B14" s="47">
        <v>13</v>
      </c>
      <c r="C14" s="46"/>
      <c r="D14" s="46"/>
      <c r="E14" s="41"/>
      <c r="F14" s="41"/>
      <c r="G14" s="41"/>
    </row>
    <row r="15" spans="1:8" x14ac:dyDescent="0.25">
      <c r="A15" s="46" t="s">
        <v>1</v>
      </c>
      <c r="B15" s="47">
        <v>14</v>
      </c>
      <c r="C15" s="46"/>
      <c r="D15" s="46"/>
      <c r="E15" s="41"/>
      <c r="F15" s="41"/>
      <c r="G15" s="41"/>
    </row>
    <row r="16" spans="1:8" x14ac:dyDescent="0.25">
      <c r="A16" s="36" t="s">
        <v>2</v>
      </c>
      <c r="B16" s="37">
        <v>15</v>
      </c>
      <c r="C16" s="36" t="s">
        <v>38</v>
      </c>
      <c r="D16" s="36"/>
      <c r="E16" s="38">
        <v>700</v>
      </c>
      <c r="F16" s="29" t="s">
        <v>31</v>
      </c>
      <c r="G16" s="39"/>
    </row>
    <row r="17" spans="1:8" x14ac:dyDescent="0.25">
      <c r="A17" s="36" t="s">
        <v>3</v>
      </c>
      <c r="B17" s="37">
        <v>16</v>
      </c>
      <c r="C17" s="36"/>
      <c r="D17" s="36"/>
      <c r="E17" s="38"/>
      <c r="F17" s="38"/>
      <c r="G17" s="38"/>
      <c r="H17" s="12"/>
    </row>
    <row r="18" spans="1:8" x14ac:dyDescent="0.25">
      <c r="A18" s="36" t="s">
        <v>4</v>
      </c>
      <c r="B18" s="37">
        <v>17</v>
      </c>
      <c r="C18" s="36"/>
      <c r="D18" s="36"/>
      <c r="E18" s="38"/>
      <c r="F18" s="38"/>
      <c r="G18" s="38"/>
      <c r="H18" s="12"/>
    </row>
    <row r="19" spans="1:8" x14ac:dyDescent="0.25">
      <c r="A19" s="36" t="s">
        <v>5</v>
      </c>
      <c r="B19" s="37">
        <v>18</v>
      </c>
      <c r="C19" s="36"/>
      <c r="D19" s="36"/>
      <c r="E19" s="38"/>
      <c r="F19" s="38"/>
      <c r="G19" s="38"/>
      <c r="H19" s="12"/>
    </row>
    <row r="20" spans="1:8" x14ac:dyDescent="0.25">
      <c r="A20" s="36" t="s">
        <v>6</v>
      </c>
      <c r="B20" s="37">
        <v>19</v>
      </c>
      <c r="C20" s="36"/>
      <c r="D20" s="36"/>
      <c r="E20" s="38"/>
      <c r="F20" s="38"/>
      <c r="G20" s="38"/>
      <c r="H20" s="12"/>
    </row>
    <row r="21" spans="1:8" x14ac:dyDescent="0.25">
      <c r="A21" s="12" t="s">
        <v>7</v>
      </c>
      <c r="B21" s="13">
        <v>20</v>
      </c>
      <c r="C21" s="12"/>
      <c r="D21" s="12"/>
      <c r="E21" s="14"/>
      <c r="F21" s="14"/>
      <c r="G21" s="14"/>
      <c r="H21" s="12"/>
    </row>
    <row r="22" spans="1:8" x14ac:dyDescent="0.25">
      <c r="A22" s="46" t="s">
        <v>1</v>
      </c>
      <c r="B22" s="47">
        <v>21</v>
      </c>
      <c r="C22" s="46" t="s">
        <v>39</v>
      </c>
      <c r="D22" s="46"/>
      <c r="E22" s="51">
        <v>1100</v>
      </c>
      <c r="F22" s="29" t="s">
        <v>31</v>
      </c>
      <c r="G22" s="51"/>
      <c r="H22" s="12"/>
    </row>
    <row r="23" spans="1:8" x14ac:dyDescent="0.25">
      <c r="A23" s="48" t="s">
        <v>2</v>
      </c>
      <c r="B23" s="49">
        <v>22</v>
      </c>
      <c r="C23" s="48"/>
      <c r="D23" s="48"/>
      <c r="E23" s="50"/>
      <c r="F23" s="50"/>
      <c r="G23" s="50"/>
      <c r="H23" s="12"/>
    </row>
    <row r="24" spans="1:8" x14ac:dyDescent="0.25">
      <c r="A24" s="48" t="s">
        <v>3</v>
      </c>
      <c r="B24" s="49">
        <v>23</v>
      </c>
      <c r="C24" s="48"/>
      <c r="D24" s="48"/>
      <c r="E24" s="50"/>
      <c r="F24" s="50"/>
      <c r="G24" s="50"/>
      <c r="H24" s="12"/>
    </row>
    <row r="25" spans="1:8" x14ac:dyDescent="0.25">
      <c r="A25" s="48" t="s">
        <v>4</v>
      </c>
      <c r="B25" s="49">
        <v>24</v>
      </c>
      <c r="C25" s="48"/>
      <c r="D25" s="48"/>
      <c r="E25" s="50"/>
      <c r="F25" s="50"/>
      <c r="G25" s="50"/>
      <c r="H25" s="12"/>
    </row>
    <row r="26" spans="1:8" x14ac:dyDescent="0.25">
      <c r="A26" s="53" t="s">
        <v>5</v>
      </c>
      <c r="B26" s="54">
        <v>25</v>
      </c>
      <c r="C26" s="53"/>
      <c r="D26" s="53"/>
      <c r="E26" s="55"/>
      <c r="F26" s="56"/>
      <c r="G26" s="56"/>
      <c r="H26" s="12"/>
    </row>
    <row r="27" spans="1:8" x14ac:dyDescent="0.25">
      <c r="A27" s="53" t="s">
        <v>6</v>
      </c>
      <c r="B27" s="54">
        <v>26</v>
      </c>
      <c r="C27" s="53"/>
      <c r="D27" s="53"/>
      <c r="E27" s="56"/>
      <c r="F27" s="56"/>
      <c r="G27" s="56"/>
      <c r="H27" s="12"/>
    </row>
    <row r="28" spans="1:8" x14ac:dyDescent="0.25">
      <c r="A28" s="53" t="s">
        <v>7</v>
      </c>
      <c r="B28" s="54">
        <v>27</v>
      </c>
      <c r="C28" s="53"/>
      <c r="D28" s="53"/>
      <c r="E28" s="55"/>
      <c r="F28" s="55"/>
      <c r="G28" s="55"/>
    </row>
    <row r="29" spans="1:8" x14ac:dyDescent="0.25">
      <c r="A29" s="48" t="s">
        <v>1</v>
      </c>
      <c r="B29" s="49">
        <v>28</v>
      </c>
      <c r="C29" s="48" t="s">
        <v>58</v>
      </c>
      <c r="D29" s="48"/>
      <c r="E29" s="50">
        <v>780</v>
      </c>
      <c r="F29" s="64" t="s">
        <v>31</v>
      </c>
      <c r="G29" s="50"/>
    </row>
    <row r="30" spans="1:8" x14ac:dyDescent="0.25">
      <c r="A30" s="42"/>
      <c r="B30" s="43"/>
      <c r="C30" s="44"/>
      <c r="D30" s="44"/>
      <c r="E30" s="45"/>
      <c r="F30" s="45"/>
      <c r="G30" s="45"/>
    </row>
    <row r="31" spans="1:8" x14ac:dyDescent="0.25">
      <c r="B31" s="13"/>
      <c r="C31" s="12"/>
      <c r="D31" t="s">
        <v>22</v>
      </c>
      <c r="E31" s="8">
        <f>SUM(E2:E29)</f>
        <v>6380</v>
      </c>
      <c r="F31" s="14"/>
      <c r="G31" s="14"/>
    </row>
    <row r="32" spans="1:8" x14ac:dyDescent="0.25">
      <c r="B32" s="1"/>
      <c r="E32" s="8"/>
      <c r="F32" s="8"/>
      <c r="G32" s="8"/>
    </row>
    <row r="33" spans="6:7" x14ac:dyDescent="0.25">
      <c r="F33" s="8"/>
      <c r="G33" s="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L33"/>
  <sheetViews>
    <sheetView topLeftCell="A7" workbookViewId="0">
      <selection activeCell="G28" sqref="G28"/>
    </sheetView>
  </sheetViews>
  <sheetFormatPr defaultRowHeight="15" x14ac:dyDescent="0.25"/>
  <cols>
    <col min="1" max="1" width="13.42578125" customWidth="1"/>
    <col min="3" max="3" width="24.42578125" customWidth="1"/>
    <col min="4" max="4" width="16.42578125" customWidth="1"/>
    <col min="5" max="5" width="16.28515625" customWidth="1"/>
    <col min="6" max="6" width="14.140625" customWidth="1"/>
    <col min="7" max="7" width="13.85546875" customWidth="1"/>
  </cols>
  <sheetData>
    <row r="1" spans="1:12" x14ac:dyDescent="0.25">
      <c r="A1" s="4" t="s">
        <v>40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12" x14ac:dyDescent="0.25">
      <c r="A2" s="46" t="s">
        <v>2</v>
      </c>
      <c r="B2" s="47">
        <v>1</v>
      </c>
      <c r="C2" s="46"/>
      <c r="D2" s="46"/>
      <c r="E2" s="41"/>
      <c r="F2" s="41"/>
      <c r="G2" s="41"/>
    </row>
    <row r="3" spans="1:12" x14ac:dyDescent="0.25">
      <c r="A3" s="46" t="s">
        <v>3</v>
      </c>
      <c r="B3" s="47">
        <v>2</v>
      </c>
      <c r="C3" s="46"/>
      <c r="D3" s="46"/>
      <c r="E3" s="41"/>
      <c r="F3" s="41"/>
      <c r="G3" s="41"/>
    </row>
    <row r="4" spans="1:12" x14ac:dyDescent="0.25">
      <c r="A4" s="46" t="s">
        <v>4</v>
      </c>
      <c r="B4" s="47">
        <v>3</v>
      </c>
      <c r="C4" s="46"/>
      <c r="D4" s="46"/>
      <c r="E4" s="41"/>
      <c r="F4" s="41"/>
      <c r="G4" s="41"/>
      <c r="I4" s="12"/>
      <c r="J4" s="12"/>
      <c r="K4" s="12"/>
      <c r="L4" s="12"/>
    </row>
    <row r="5" spans="1:12" x14ac:dyDescent="0.25">
      <c r="A5" s="46" t="s">
        <v>5</v>
      </c>
      <c r="B5" s="47">
        <v>4</v>
      </c>
      <c r="C5" s="46"/>
      <c r="D5" s="46"/>
      <c r="E5" s="41"/>
      <c r="F5" s="41"/>
      <c r="G5" s="41"/>
      <c r="I5" s="12"/>
      <c r="J5" s="12"/>
      <c r="K5" s="12"/>
      <c r="L5" s="12"/>
    </row>
    <row r="6" spans="1:12" x14ac:dyDescent="0.25">
      <c r="A6" s="12" t="s">
        <v>6</v>
      </c>
      <c r="B6" s="13">
        <v>5</v>
      </c>
      <c r="C6" s="12"/>
      <c r="D6" s="12"/>
      <c r="E6" s="14"/>
      <c r="F6" s="14"/>
      <c r="G6" s="14"/>
      <c r="I6" s="12"/>
      <c r="J6" s="12"/>
      <c r="K6" s="12"/>
      <c r="L6" s="12"/>
    </row>
    <row r="7" spans="1:12" x14ac:dyDescent="0.25">
      <c r="A7" s="12" t="s">
        <v>7</v>
      </c>
      <c r="B7" s="13">
        <v>6</v>
      </c>
      <c r="C7" s="12"/>
      <c r="D7" s="12"/>
      <c r="E7" s="14"/>
      <c r="F7" s="14"/>
      <c r="G7" s="14"/>
      <c r="I7" s="12"/>
      <c r="J7" s="12"/>
      <c r="K7" s="12"/>
      <c r="L7" s="12"/>
    </row>
    <row r="8" spans="1:12" x14ac:dyDescent="0.25">
      <c r="A8" s="12" t="s">
        <v>1</v>
      </c>
      <c r="B8" s="13">
        <v>7</v>
      </c>
      <c r="C8" s="12"/>
      <c r="D8" s="12"/>
      <c r="E8" s="14"/>
      <c r="F8" s="14"/>
      <c r="G8" s="14"/>
      <c r="I8" s="12"/>
      <c r="J8" s="12"/>
      <c r="K8" s="12"/>
      <c r="L8" s="12"/>
    </row>
    <row r="9" spans="1:12" x14ac:dyDescent="0.25">
      <c r="A9" s="46" t="s">
        <v>2</v>
      </c>
      <c r="B9" s="47">
        <v>8</v>
      </c>
      <c r="C9" s="46" t="s">
        <v>51</v>
      </c>
      <c r="D9" s="46"/>
      <c r="E9" s="41">
        <v>1640</v>
      </c>
      <c r="F9" s="18" t="s">
        <v>31</v>
      </c>
      <c r="G9" s="41"/>
      <c r="I9" s="12"/>
      <c r="J9" s="12"/>
      <c r="K9" s="12"/>
      <c r="L9" s="12"/>
    </row>
    <row r="10" spans="1:12" x14ac:dyDescent="0.25">
      <c r="A10" s="46" t="s">
        <v>3</v>
      </c>
      <c r="B10" s="47">
        <v>9</v>
      </c>
      <c r="C10" s="46"/>
      <c r="D10" s="46"/>
      <c r="E10" s="41"/>
      <c r="F10" s="41"/>
      <c r="G10" s="41"/>
      <c r="I10" s="12"/>
      <c r="J10" s="12"/>
      <c r="K10" s="12"/>
      <c r="L10" s="12"/>
    </row>
    <row r="11" spans="1:12" x14ac:dyDescent="0.25">
      <c r="A11" s="46" t="s">
        <v>4</v>
      </c>
      <c r="B11" s="47">
        <v>10</v>
      </c>
      <c r="C11" s="46"/>
      <c r="D11" s="46"/>
      <c r="E11" s="41"/>
      <c r="F11" s="51"/>
      <c r="G11" s="51"/>
      <c r="I11" s="12"/>
      <c r="J11" s="12"/>
      <c r="K11" s="12"/>
      <c r="L11" s="12"/>
    </row>
    <row r="12" spans="1:12" x14ac:dyDescent="0.25">
      <c r="A12" s="46" t="s">
        <v>5</v>
      </c>
      <c r="B12" s="47">
        <v>11</v>
      </c>
      <c r="C12" s="46"/>
      <c r="D12" s="46"/>
      <c r="E12" s="41"/>
      <c r="F12" s="41"/>
      <c r="G12" s="41"/>
      <c r="I12" s="12"/>
      <c r="J12" s="12"/>
      <c r="K12" s="12"/>
      <c r="L12" s="12"/>
    </row>
    <row r="13" spans="1:12" x14ac:dyDescent="0.25">
      <c r="A13" s="46" t="s">
        <v>6</v>
      </c>
      <c r="B13" s="47">
        <v>12</v>
      </c>
      <c r="C13" s="46"/>
      <c r="D13" s="46"/>
      <c r="E13" s="51"/>
      <c r="F13" s="41"/>
      <c r="G13" s="41"/>
      <c r="I13" s="12"/>
      <c r="J13" s="12"/>
      <c r="K13" s="12"/>
      <c r="L13" s="12"/>
    </row>
    <row r="14" spans="1:12" x14ac:dyDescent="0.25">
      <c r="A14" s="46" t="s">
        <v>7</v>
      </c>
      <c r="B14" s="47">
        <v>13</v>
      </c>
      <c r="C14" s="46"/>
      <c r="D14" s="46"/>
      <c r="E14" s="41"/>
      <c r="F14" s="41"/>
      <c r="G14" s="41"/>
      <c r="I14" s="12"/>
      <c r="J14" s="12"/>
      <c r="K14" s="12"/>
      <c r="L14" s="12"/>
    </row>
    <row r="15" spans="1:12" x14ac:dyDescent="0.25">
      <c r="A15" s="46" t="s">
        <v>1</v>
      </c>
      <c r="B15" s="47">
        <v>14</v>
      </c>
      <c r="C15" s="46"/>
      <c r="D15" s="46"/>
      <c r="E15" s="41"/>
      <c r="F15" s="41"/>
      <c r="G15" s="41"/>
      <c r="I15" s="12"/>
      <c r="J15" s="12"/>
      <c r="K15" s="12"/>
      <c r="L15" s="12"/>
    </row>
    <row r="16" spans="1:12" x14ac:dyDescent="0.25">
      <c r="A16" s="46" t="s">
        <v>2</v>
      </c>
      <c r="B16" s="47">
        <v>15</v>
      </c>
      <c r="C16" s="46" t="s">
        <v>62</v>
      </c>
      <c r="D16" s="46"/>
      <c r="E16" s="41">
        <v>780</v>
      </c>
      <c r="F16" s="18" t="s">
        <v>31</v>
      </c>
      <c r="G16" s="41"/>
      <c r="I16" s="12"/>
      <c r="J16" s="12"/>
      <c r="K16" s="12"/>
      <c r="L16" s="12"/>
    </row>
    <row r="17" spans="1:12" x14ac:dyDescent="0.25">
      <c r="A17" s="46" t="s">
        <v>3</v>
      </c>
      <c r="B17" s="47">
        <v>16</v>
      </c>
      <c r="C17" s="46"/>
      <c r="D17" s="46"/>
      <c r="E17" s="41"/>
      <c r="F17" s="41"/>
      <c r="G17" s="41"/>
      <c r="H17" s="12"/>
      <c r="I17" s="12"/>
      <c r="J17" s="12"/>
      <c r="K17" s="12"/>
      <c r="L17" s="12"/>
    </row>
    <row r="18" spans="1:12" x14ac:dyDescent="0.25">
      <c r="A18" s="46" t="s">
        <v>4</v>
      </c>
      <c r="B18" s="47">
        <v>17</v>
      </c>
      <c r="C18" s="46"/>
      <c r="D18" s="46"/>
      <c r="E18" s="41"/>
      <c r="F18" s="41"/>
      <c r="G18" s="41"/>
      <c r="H18" s="12"/>
      <c r="I18" s="12"/>
      <c r="J18" s="12"/>
      <c r="K18" s="12"/>
      <c r="L18" s="12"/>
    </row>
    <row r="19" spans="1:12" x14ac:dyDescent="0.25">
      <c r="A19" s="46" t="s">
        <v>5</v>
      </c>
      <c r="B19" s="47">
        <v>18</v>
      </c>
      <c r="C19" s="46"/>
      <c r="D19" s="46"/>
      <c r="E19" s="41"/>
      <c r="F19" s="41"/>
      <c r="G19" s="41"/>
      <c r="H19" s="12"/>
      <c r="I19" s="12"/>
      <c r="J19" s="12"/>
      <c r="K19" s="12"/>
      <c r="L19" s="12"/>
    </row>
    <row r="20" spans="1:12" x14ac:dyDescent="0.25">
      <c r="A20" s="65" t="s">
        <v>6</v>
      </c>
      <c r="B20" s="66">
        <v>19</v>
      </c>
      <c r="C20" s="65" t="s">
        <v>61</v>
      </c>
      <c r="D20" s="67"/>
      <c r="E20" s="69">
        <v>1120</v>
      </c>
      <c r="F20" s="57" t="s">
        <v>31</v>
      </c>
      <c r="G20" s="69"/>
      <c r="H20" s="12"/>
      <c r="I20" s="12"/>
      <c r="J20" s="12"/>
      <c r="K20" s="12"/>
      <c r="L20" s="12"/>
    </row>
    <row r="21" spans="1:12" x14ac:dyDescent="0.25">
      <c r="A21" s="65" t="s">
        <v>7</v>
      </c>
      <c r="B21" s="66">
        <v>20</v>
      </c>
      <c r="C21" s="67"/>
      <c r="D21" s="67"/>
      <c r="E21" s="68"/>
      <c r="F21" s="68"/>
      <c r="G21" s="68"/>
      <c r="H21" s="12"/>
      <c r="I21" s="12"/>
      <c r="J21" s="12"/>
      <c r="K21" s="12"/>
      <c r="L21" s="12"/>
    </row>
    <row r="22" spans="1:12" x14ac:dyDescent="0.25">
      <c r="A22" s="65" t="s">
        <v>1</v>
      </c>
      <c r="B22" s="66">
        <v>21</v>
      </c>
      <c r="C22" s="67"/>
      <c r="D22" s="67"/>
      <c r="E22" s="68"/>
      <c r="F22" s="68"/>
      <c r="G22" s="68"/>
      <c r="H22" s="12"/>
      <c r="I22" s="12"/>
      <c r="J22" s="12"/>
      <c r="K22" s="12"/>
      <c r="L22" s="12"/>
    </row>
    <row r="23" spans="1:12" x14ac:dyDescent="0.25">
      <c r="A23" s="65" t="s">
        <v>2</v>
      </c>
      <c r="B23" s="66">
        <v>22</v>
      </c>
      <c r="C23" s="67"/>
      <c r="D23" s="67"/>
      <c r="E23" s="68"/>
      <c r="F23" s="68"/>
      <c r="G23" s="68"/>
      <c r="H23" s="12"/>
      <c r="I23" s="12"/>
      <c r="J23" s="12"/>
      <c r="K23" s="12"/>
      <c r="L23" s="12"/>
    </row>
    <row r="24" spans="1:12" x14ac:dyDescent="0.25">
      <c r="A24" s="65" t="s">
        <v>3</v>
      </c>
      <c r="B24" s="66">
        <v>23</v>
      </c>
      <c r="C24" s="67"/>
      <c r="D24" s="67"/>
      <c r="E24" s="68"/>
      <c r="F24" s="68"/>
      <c r="G24" s="68"/>
      <c r="H24" s="12"/>
      <c r="I24" s="12"/>
      <c r="J24" s="12"/>
      <c r="K24" s="12"/>
      <c r="L24" s="12"/>
    </row>
    <row r="25" spans="1:12" x14ac:dyDescent="0.25">
      <c r="A25" s="65" t="s">
        <v>4</v>
      </c>
      <c r="B25" s="66">
        <v>24</v>
      </c>
      <c r="C25" s="67"/>
      <c r="D25" s="67"/>
      <c r="E25" s="68"/>
      <c r="F25" s="68"/>
      <c r="G25" s="68"/>
      <c r="H25" s="12"/>
      <c r="I25" s="12"/>
      <c r="J25" s="12"/>
      <c r="K25" s="12"/>
      <c r="L25" s="12"/>
    </row>
    <row r="26" spans="1:12" x14ac:dyDescent="0.25">
      <c r="A26" s="36" t="s">
        <v>5</v>
      </c>
      <c r="B26" s="37">
        <v>25</v>
      </c>
      <c r="C26" s="36" t="s">
        <v>57</v>
      </c>
      <c r="D26" s="36"/>
      <c r="E26" s="38">
        <v>700</v>
      </c>
      <c r="F26" s="18" t="s">
        <v>31</v>
      </c>
      <c r="G26" s="38"/>
      <c r="H26" s="12"/>
      <c r="I26" s="12"/>
      <c r="J26" s="12"/>
      <c r="K26" s="12"/>
      <c r="L26" s="12"/>
    </row>
    <row r="27" spans="1:12" x14ac:dyDescent="0.25">
      <c r="A27" s="36" t="s">
        <v>6</v>
      </c>
      <c r="B27" s="37">
        <v>26</v>
      </c>
      <c r="C27" s="36"/>
      <c r="D27" s="36"/>
      <c r="E27" s="38"/>
      <c r="F27" s="38"/>
      <c r="G27" s="38"/>
      <c r="H27" s="12"/>
      <c r="I27" s="12"/>
      <c r="J27" s="71"/>
      <c r="K27" s="12"/>
      <c r="L27" s="12"/>
    </row>
    <row r="28" spans="1:12" x14ac:dyDescent="0.25">
      <c r="A28" s="36" t="s">
        <v>7</v>
      </c>
      <c r="B28" s="37">
        <v>27</v>
      </c>
      <c r="C28" s="36"/>
      <c r="D28" s="36"/>
      <c r="E28" s="39"/>
      <c r="F28" s="39"/>
      <c r="G28" s="39"/>
      <c r="I28" s="12"/>
      <c r="J28" s="12"/>
      <c r="K28" s="12"/>
      <c r="L28" s="12"/>
    </row>
    <row r="29" spans="1:12" x14ac:dyDescent="0.25">
      <c r="A29" s="36" t="s">
        <v>1</v>
      </c>
      <c r="B29" s="37">
        <v>28</v>
      </c>
      <c r="C29" s="36"/>
      <c r="D29" s="36"/>
      <c r="E29" s="38"/>
      <c r="F29" s="38"/>
      <c r="G29" s="38"/>
      <c r="I29" s="12"/>
      <c r="J29" s="12"/>
      <c r="K29" s="12"/>
      <c r="L29" s="12"/>
    </row>
    <row r="30" spans="1:12" x14ac:dyDescent="0.25">
      <c r="A30" s="36" t="s">
        <v>2</v>
      </c>
      <c r="B30" s="37">
        <v>29</v>
      </c>
      <c r="C30" s="36" t="s">
        <v>49</v>
      </c>
      <c r="D30" s="36"/>
      <c r="E30" s="39">
        <v>1000</v>
      </c>
      <c r="F30" s="18" t="s">
        <v>31</v>
      </c>
      <c r="G30" s="38"/>
      <c r="I30" s="12"/>
      <c r="J30" s="12"/>
      <c r="K30" s="12"/>
      <c r="L30" s="12"/>
    </row>
    <row r="31" spans="1:12" x14ac:dyDescent="0.25">
      <c r="A31" s="36" t="s">
        <v>3</v>
      </c>
      <c r="B31" s="37">
        <v>30</v>
      </c>
      <c r="C31" s="36"/>
      <c r="D31" s="36"/>
      <c r="E31" s="38"/>
      <c r="F31" s="38"/>
      <c r="G31" s="38"/>
      <c r="I31" s="12"/>
      <c r="J31" s="12"/>
      <c r="K31" s="12"/>
      <c r="L31" s="12"/>
    </row>
    <row r="32" spans="1:12" x14ac:dyDescent="0.25">
      <c r="A32" s="36" t="s">
        <v>4</v>
      </c>
      <c r="B32" s="37">
        <v>31</v>
      </c>
      <c r="C32" s="36"/>
      <c r="D32" s="36"/>
      <c r="E32" s="38"/>
      <c r="F32" s="38"/>
      <c r="G32" s="38"/>
      <c r="I32" s="12"/>
      <c r="J32" s="12"/>
      <c r="K32" s="12"/>
      <c r="L32" s="12"/>
    </row>
    <row r="33" spans="4:12" x14ac:dyDescent="0.25">
      <c r="D33" t="s">
        <v>22</v>
      </c>
      <c r="E33" s="8">
        <f>SUM(E2:E32)</f>
        <v>5240</v>
      </c>
      <c r="F33" s="8"/>
      <c r="G33" s="8"/>
      <c r="I33" s="12"/>
      <c r="J33" s="12"/>
      <c r="K33" s="12"/>
      <c r="L33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H33"/>
  <sheetViews>
    <sheetView workbookViewId="0">
      <selection activeCell="K13" sqref="K13"/>
    </sheetView>
  </sheetViews>
  <sheetFormatPr defaultRowHeight="15" x14ac:dyDescent="0.25"/>
  <cols>
    <col min="1" max="1" width="14.28515625" customWidth="1"/>
    <col min="3" max="3" width="25.85546875" customWidth="1"/>
    <col min="4" max="4" width="12.28515625" customWidth="1"/>
    <col min="5" max="5" width="17.85546875" customWidth="1"/>
    <col min="6" max="6" width="11.28515625" customWidth="1"/>
    <col min="7" max="7" width="11.7109375" style="63" customWidth="1"/>
  </cols>
  <sheetData>
    <row r="1" spans="1:8" x14ac:dyDescent="0.25">
      <c r="A1" s="4" t="s">
        <v>41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59" t="s">
        <v>10</v>
      </c>
      <c r="H1" s="5">
        <v>2018</v>
      </c>
    </row>
    <row r="2" spans="1:8" x14ac:dyDescent="0.25">
      <c r="A2" s="36" t="s">
        <v>5</v>
      </c>
      <c r="B2" s="37">
        <v>1</v>
      </c>
      <c r="C2" s="36" t="s">
        <v>49</v>
      </c>
      <c r="D2" s="36"/>
      <c r="E2" s="38"/>
      <c r="F2" s="38"/>
      <c r="G2" s="58"/>
      <c r="H2" s="36"/>
    </row>
    <row r="3" spans="1:8" x14ac:dyDescent="0.25">
      <c r="A3" s="12" t="s">
        <v>6</v>
      </c>
      <c r="B3" s="13">
        <v>2</v>
      </c>
      <c r="C3" s="12"/>
      <c r="D3" s="12"/>
      <c r="E3" s="14"/>
      <c r="F3" s="14"/>
      <c r="G3" s="60"/>
    </row>
    <row r="4" spans="1:8" x14ac:dyDescent="0.25">
      <c r="A4" s="12" t="s">
        <v>7</v>
      </c>
      <c r="B4" s="13">
        <v>3</v>
      </c>
      <c r="C4" s="12"/>
      <c r="D4" s="12"/>
      <c r="E4" s="14"/>
      <c r="F4" s="14"/>
      <c r="G4" s="60"/>
    </row>
    <row r="5" spans="1:8" x14ac:dyDescent="0.25">
      <c r="A5" s="36" t="s">
        <v>1</v>
      </c>
      <c r="B5" s="37">
        <v>4</v>
      </c>
      <c r="C5" s="36" t="s">
        <v>59</v>
      </c>
      <c r="D5" s="36"/>
      <c r="E5" s="38">
        <v>1500</v>
      </c>
      <c r="F5" s="57" t="s">
        <v>31</v>
      </c>
      <c r="G5" s="58"/>
      <c r="H5" s="36"/>
    </row>
    <row r="6" spans="1:8" x14ac:dyDescent="0.25">
      <c r="A6" s="36" t="s">
        <v>2</v>
      </c>
      <c r="B6" s="37">
        <v>5</v>
      </c>
      <c r="C6" s="36"/>
      <c r="D6" s="36"/>
      <c r="E6" s="38"/>
      <c r="F6" s="38"/>
      <c r="G6" s="58"/>
      <c r="H6" s="36"/>
    </row>
    <row r="7" spans="1:8" x14ac:dyDescent="0.25">
      <c r="A7" s="36" t="s">
        <v>3</v>
      </c>
      <c r="B7" s="37">
        <v>6</v>
      </c>
      <c r="C7" s="36"/>
      <c r="D7" s="36"/>
      <c r="E7" s="38"/>
      <c r="F7" s="38"/>
      <c r="G7" s="58"/>
      <c r="H7" s="36"/>
    </row>
    <row r="8" spans="1:8" x14ac:dyDescent="0.25">
      <c r="A8" s="36" t="s">
        <v>4</v>
      </c>
      <c r="B8" s="37">
        <v>7</v>
      </c>
      <c r="C8" s="36"/>
      <c r="D8" s="36"/>
      <c r="E8" s="38"/>
      <c r="F8" s="38"/>
      <c r="G8" s="58"/>
      <c r="H8" s="36"/>
    </row>
    <row r="9" spans="1:8" x14ac:dyDescent="0.25">
      <c r="A9" s="36" t="s">
        <v>5</v>
      </c>
      <c r="B9" s="37">
        <v>8</v>
      </c>
      <c r="C9" s="36"/>
      <c r="D9" s="36"/>
      <c r="E9" s="38"/>
      <c r="F9" s="38"/>
      <c r="G9" s="58"/>
      <c r="H9" s="36"/>
    </row>
    <row r="10" spans="1:8" x14ac:dyDescent="0.25">
      <c r="A10" s="36" t="s">
        <v>6</v>
      </c>
      <c r="B10" s="37">
        <v>9</v>
      </c>
      <c r="C10" s="36"/>
      <c r="D10" s="36"/>
      <c r="E10" s="38"/>
      <c r="F10" s="38"/>
      <c r="G10" s="58"/>
      <c r="H10" s="36"/>
    </row>
    <row r="11" spans="1:8" x14ac:dyDescent="0.25">
      <c r="A11" s="36" t="s">
        <v>7</v>
      </c>
      <c r="B11" s="37">
        <v>10</v>
      </c>
      <c r="C11" s="36"/>
      <c r="D11" s="36"/>
      <c r="E11" s="38"/>
      <c r="F11" s="39"/>
      <c r="G11" s="58"/>
      <c r="H11" s="36"/>
    </row>
    <row r="12" spans="1:8" x14ac:dyDescent="0.25">
      <c r="A12" s="36" t="s">
        <v>1</v>
      </c>
      <c r="B12" s="37">
        <v>11</v>
      </c>
      <c r="C12" s="36"/>
      <c r="D12" s="36"/>
      <c r="E12" s="38"/>
      <c r="F12" s="38"/>
      <c r="G12" s="58"/>
      <c r="H12" s="36"/>
    </row>
    <row r="13" spans="1:8" x14ac:dyDescent="0.25">
      <c r="A13" s="36" t="s">
        <v>2</v>
      </c>
      <c r="B13" s="37">
        <v>12</v>
      </c>
      <c r="C13" s="36"/>
      <c r="D13" s="36"/>
      <c r="E13" s="39"/>
      <c r="F13" s="38"/>
      <c r="G13" s="58"/>
      <c r="H13" s="36"/>
    </row>
    <row r="14" spans="1:8" x14ac:dyDescent="0.25">
      <c r="A14" s="36" t="s">
        <v>3</v>
      </c>
      <c r="B14" s="37">
        <v>13</v>
      </c>
      <c r="C14" s="36"/>
      <c r="D14" s="36"/>
      <c r="E14" s="38"/>
      <c r="F14" s="38"/>
      <c r="G14" s="58"/>
      <c r="H14" s="36"/>
    </row>
    <row r="15" spans="1:8" x14ac:dyDescent="0.25">
      <c r="A15" s="12" t="s">
        <v>4</v>
      </c>
      <c r="B15" s="13">
        <v>14</v>
      </c>
      <c r="C15" s="12"/>
      <c r="D15" s="12"/>
      <c r="E15" s="14"/>
      <c r="F15" s="14"/>
      <c r="G15" s="60"/>
    </row>
    <row r="16" spans="1:8" x14ac:dyDescent="0.25">
      <c r="A16" s="46" t="s">
        <v>5</v>
      </c>
      <c r="B16" s="47">
        <v>15</v>
      </c>
      <c r="C16" s="46" t="s">
        <v>56</v>
      </c>
      <c r="D16" s="46"/>
      <c r="E16" s="41">
        <v>1900</v>
      </c>
      <c r="F16" s="18" t="s">
        <v>31</v>
      </c>
      <c r="G16" s="61"/>
      <c r="H16" s="46"/>
    </row>
    <row r="17" spans="1:8" x14ac:dyDescent="0.25">
      <c r="A17" s="46" t="s">
        <v>6</v>
      </c>
      <c r="B17" s="47">
        <v>16</v>
      </c>
      <c r="C17" s="46" t="s">
        <v>28</v>
      </c>
      <c r="D17" s="46"/>
      <c r="E17" s="41"/>
      <c r="F17" s="41"/>
      <c r="G17" s="61"/>
      <c r="H17" s="46"/>
    </row>
    <row r="18" spans="1:8" x14ac:dyDescent="0.25">
      <c r="A18" s="46" t="s">
        <v>7</v>
      </c>
      <c r="B18" s="47">
        <v>17</v>
      </c>
      <c r="C18" s="46"/>
      <c r="D18" s="46"/>
      <c r="E18" s="41"/>
      <c r="F18" s="41"/>
      <c r="G18" s="61"/>
      <c r="H18" s="46"/>
    </row>
    <row r="19" spans="1:8" x14ac:dyDescent="0.25">
      <c r="A19" s="46" t="s">
        <v>1</v>
      </c>
      <c r="B19" s="47">
        <v>18</v>
      </c>
      <c r="C19" s="46"/>
      <c r="D19" s="46"/>
      <c r="E19" s="41"/>
      <c r="F19" s="41"/>
      <c r="G19" s="61"/>
      <c r="H19" s="46"/>
    </row>
    <row r="20" spans="1:8" x14ac:dyDescent="0.25">
      <c r="A20" s="46" t="s">
        <v>2</v>
      </c>
      <c r="B20" s="47">
        <v>19</v>
      </c>
      <c r="C20" s="46"/>
      <c r="D20" s="46"/>
      <c r="E20" s="41"/>
      <c r="F20" s="41"/>
      <c r="G20" s="61"/>
      <c r="H20" s="46"/>
    </row>
    <row r="21" spans="1:8" x14ac:dyDescent="0.25">
      <c r="A21" s="46" t="s">
        <v>3</v>
      </c>
      <c r="B21" s="47">
        <v>20</v>
      </c>
      <c r="C21" s="46"/>
      <c r="D21" s="46"/>
      <c r="E21" s="41"/>
      <c r="F21" s="41"/>
      <c r="G21" s="61"/>
      <c r="H21" s="46"/>
    </row>
    <row r="22" spans="1:8" x14ac:dyDescent="0.25">
      <c r="A22" s="46" t="s">
        <v>4</v>
      </c>
      <c r="B22" s="47">
        <v>21</v>
      </c>
      <c r="C22" s="46"/>
      <c r="D22" s="46"/>
      <c r="E22" s="41"/>
      <c r="F22" s="41"/>
      <c r="G22" s="61"/>
      <c r="H22" s="46"/>
    </row>
    <row r="23" spans="1:8" x14ac:dyDescent="0.25">
      <c r="A23" s="46" t="s">
        <v>5</v>
      </c>
      <c r="B23" s="47">
        <v>22</v>
      </c>
      <c r="C23" s="46"/>
      <c r="D23" s="46"/>
      <c r="E23" s="41"/>
      <c r="F23" s="41"/>
      <c r="G23" s="61"/>
      <c r="H23" s="46"/>
    </row>
    <row r="24" spans="1:8" x14ac:dyDescent="0.25">
      <c r="A24" s="46" t="s">
        <v>6</v>
      </c>
      <c r="B24" s="47">
        <v>23</v>
      </c>
      <c r="C24" s="46"/>
      <c r="D24" s="46"/>
      <c r="E24" s="41"/>
      <c r="F24" s="41"/>
      <c r="G24" s="61"/>
      <c r="H24" s="46"/>
    </row>
    <row r="25" spans="1:8" x14ac:dyDescent="0.25">
      <c r="A25" s="46" t="s">
        <v>7</v>
      </c>
      <c r="B25" s="47">
        <v>24</v>
      </c>
      <c r="C25" s="46"/>
      <c r="D25" s="46"/>
      <c r="E25" s="41"/>
      <c r="F25" s="41"/>
      <c r="G25" s="61"/>
      <c r="H25" s="46"/>
    </row>
    <row r="26" spans="1:8" x14ac:dyDescent="0.25">
      <c r="A26" s="46" t="s">
        <v>1</v>
      </c>
      <c r="B26" s="47">
        <v>25</v>
      </c>
      <c r="C26" s="46"/>
      <c r="D26" s="46"/>
      <c r="E26" s="41"/>
      <c r="F26" s="41"/>
      <c r="G26" s="61"/>
      <c r="H26" s="46"/>
    </row>
    <row r="27" spans="1:8" x14ac:dyDescent="0.25">
      <c r="A27" t="s">
        <v>2</v>
      </c>
      <c r="B27" s="13">
        <v>26</v>
      </c>
      <c r="C27" s="12"/>
      <c r="D27" s="12"/>
      <c r="E27" s="14"/>
      <c r="F27" s="14"/>
      <c r="G27" s="60"/>
      <c r="H27" s="12"/>
    </row>
    <row r="28" spans="1:8" x14ac:dyDescent="0.25">
      <c r="A28" s="25" t="s">
        <v>3</v>
      </c>
      <c r="B28" s="26">
        <v>27</v>
      </c>
      <c r="C28" s="25" t="s">
        <v>60</v>
      </c>
      <c r="D28" s="25"/>
      <c r="E28" s="70"/>
      <c r="F28" s="70"/>
      <c r="G28" s="72"/>
      <c r="H28" s="25"/>
    </row>
    <row r="29" spans="1:8" x14ac:dyDescent="0.25">
      <c r="A29" s="46" t="s">
        <v>4</v>
      </c>
      <c r="B29" s="47">
        <v>28</v>
      </c>
      <c r="C29" s="46" t="s">
        <v>63</v>
      </c>
      <c r="D29" s="46"/>
      <c r="E29" s="41">
        <v>900</v>
      </c>
      <c r="F29" s="18" t="s">
        <v>31</v>
      </c>
      <c r="G29" s="61"/>
      <c r="H29" s="46"/>
    </row>
    <row r="30" spans="1:8" x14ac:dyDescent="0.25">
      <c r="A30" s="46" t="s">
        <v>5</v>
      </c>
      <c r="B30" s="47">
        <v>29</v>
      </c>
      <c r="C30" s="46"/>
      <c r="D30" s="46"/>
      <c r="E30" s="41"/>
      <c r="F30" s="41"/>
      <c r="G30" s="61"/>
      <c r="H30" s="46"/>
    </row>
    <row r="31" spans="1:8" x14ac:dyDescent="0.25">
      <c r="A31" s="46" t="s">
        <v>6</v>
      </c>
      <c r="B31" s="47">
        <v>30</v>
      </c>
      <c r="C31" s="46"/>
      <c r="D31" s="46"/>
      <c r="E31" s="41"/>
      <c r="F31" s="41"/>
      <c r="G31" s="61"/>
      <c r="H31" s="46"/>
    </row>
    <row r="32" spans="1:8" x14ac:dyDescent="0.25">
      <c r="B32" s="1"/>
      <c r="E32" s="8"/>
      <c r="F32" s="8"/>
      <c r="G32" s="62"/>
    </row>
    <row r="33" spans="4:7" x14ac:dyDescent="0.25">
      <c r="D33" t="s">
        <v>22</v>
      </c>
      <c r="E33" s="8">
        <f>SUM(E2:E32)</f>
        <v>4300</v>
      </c>
      <c r="F33" s="8"/>
      <c r="G33" s="6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H33"/>
  <sheetViews>
    <sheetView workbookViewId="0">
      <selection activeCell="N23" sqref="N23"/>
    </sheetView>
  </sheetViews>
  <sheetFormatPr defaultRowHeight="15" x14ac:dyDescent="0.25"/>
  <cols>
    <col min="3" max="3" width="23.42578125" customWidth="1"/>
    <col min="4" max="4" width="18.28515625" customWidth="1"/>
    <col min="5" max="5" width="18" customWidth="1"/>
    <col min="6" max="6" width="18.140625" customWidth="1"/>
    <col min="7" max="7" width="18" customWidth="1"/>
  </cols>
  <sheetData>
    <row r="1" spans="1:8" x14ac:dyDescent="0.25">
      <c r="A1" s="4" t="s">
        <v>42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46" t="s">
        <v>7</v>
      </c>
      <c r="B2" s="47">
        <v>1</v>
      </c>
      <c r="C2" s="46"/>
      <c r="D2" s="46"/>
      <c r="E2" s="41"/>
      <c r="F2" s="41"/>
      <c r="G2" s="41"/>
    </row>
    <row r="3" spans="1:8" x14ac:dyDescent="0.25">
      <c r="A3" s="46" t="s">
        <v>1</v>
      </c>
      <c r="B3" s="47">
        <v>2</v>
      </c>
      <c r="C3" s="46"/>
      <c r="D3" s="46"/>
      <c r="E3" s="41"/>
      <c r="F3" s="41"/>
      <c r="G3" s="41"/>
    </row>
    <row r="4" spans="1:8" x14ac:dyDescent="0.25">
      <c r="A4" s="12" t="s">
        <v>2</v>
      </c>
      <c r="B4" s="13">
        <v>3</v>
      </c>
      <c r="C4" s="12"/>
      <c r="D4" s="12"/>
      <c r="E4" s="14"/>
      <c r="F4" s="14"/>
      <c r="G4" s="14"/>
    </row>
    <row r="5" spans="1:8" x14ac:dyDescent="0.25">
      <c r="A5" s="36" t="s">
        <v>3</v>
      </c>
      <c r="B5" s="37">
        <v>4</v>
      </c>
      <c r="C5" s="36" t="s">
        <v>65</v>
      </c>
      <c r="D5" s="36"/>
      <c r="E5" s="38">
        <v>600</v>
      </c>
      <c r="F5" s="75" t="s">
        <v>31</v>
      </c>
      <c r="G5" s="38"/>
    </row>
    <row r="6" spans="1:8" x14ac:dyDescent="0.25">
      <c r="A6" s="36" t="s">
        <v>4</v>
      </c>
      <c r="B6" s="37">
        <v>5</v>
      </c>
      <c r="C6" s="36"/>
      <c r="D6" s="36"/>
      <c r="E6" s="38"/>
      <c r="F6" s="38"/>
      <c r="G6" s="38"/>
    </row>
    <row r="7" spans="1:8" x14ac:dyDescent="0.25">
      <c r="A7" s="36" t="s">
        <v>5</v>
      </c>
      <c r="B7" s="37">
        <v>6</v>
      </c>
      <c r="C7" s="36"/>
      <c r="D7" s="36"/>
      <c r="E7" s="38"/>
      <c r="F7" s="38"/>
      <c r="G7" s="38"/>
    </row>
    <row r="8" spans="1:8" x14ac:dyDescent="0.25">
      <c r="A8" s="36" t="s">
        <v>6</v>
      </c>
      <c r="B8" s="37">
        <v>7</v>
      </c>
      <c r="C8" s="36"/>
      <c r="D8" s="36"/>
      <c r="E8" s="38"/>
      <c r="F8" s="38"/>
      <c r="G8" s="38"/>
    </row>
    <row r="9" spans="1:8" x14ac:dyDescent="0.25">
      <c r="A9" s="36" t="s">
        <v>7</v>
      </c>
      <c r="B9" s="37">
        <v>8</v>
      </c>
      <c r="C9" s="36"/>
      <c r="D9" s="36"/>
      <c r="E9" s="38"/>
      <c r="F9" s="38"/>
      <c r="G9" s="38"/>
    </row>
    <row r="10" spans="1:8" x14ac:dyDescent="0.25">
      <c r="A10" s="12" t="s">
        <v>1</v>
      </c>
      <c r="B10" s="13">
        <v>9</v>
      </c>
      <c r="C10" s="12"/>
      <c r="D10" s="12"/>
      <c r="E10" s="14"/>
      <c r="F10" s="14"/>
      <c r="G10" s="14"/>
    </row>
    <row r="11" spans="1:8" x14ac:dyDescent="0.25">
      <c r="A11" s="12" t="s">
        <v>2</v>
      </c>
      <c r="B11" s="13">
        <v>10</v>
      </c>
      <c r="C11" s="12"/>
      <c r="D11" s="12"/>
      <c r="E11" s="14"/>
      <c r="F11" s="40"/>
      <c r="G11" s="40"/>
    </row>
    <row r="12" spans="1:8" x14ac:dyDescent="0.25">
      <c r="A12" s="12" t="s">
        <v>3</v>
      </c>
      <c r="B12" s="13">
        <v>11</v>
      </c>
      <c r="C12" s="12"/>
      <c r="D12" s="12"/>
      <c r="E12" s="14"/>
      <c r="F12" s="14"/>
      <c r="G12" s="14"/>
    </row>
    <row r="13" spans="1:8" x14ac:dyDescent="0.25">
      <c r="A13" s="46" t="s">
        <v>4</v>
      </c>
      <c r="B13" s="47">
        <v>12</v>
      </c>
      <c r="C13" s="46" t="s">
        <v>68</v>
      </c>
      <c r="D13" s="46"/>
      <c r="E13" s="51">
        <v>433</v>
      </c>
      <c r="F13" s="74" t="s">
        <v>31</v>
      </c>
      <c r="G13" s="41"/>
    </row>
    <row r="14" spans="1:8" x14ac:dyDescent="0.25">
      <c r="A14" s="46" t="s">
        <v>5</v>
      </c>
      <c r="B14" s="47">
        <v>13</v>
      </c>
      <c r="C14" s="46" t="s">
        <v>28</v>
      </c>
      <c r="D14" s="46"/>
      <c r="E14" s="41"/>
      <c r="F14" s="41"/>
      <c r="G14" s="41"/>
    </row>
    <row r="15" spans="1:8" x14ac:dyDescent="0.25">
      <c r="A15" s="46" t="s">
        <v>6</v>
      </c>
      <c r="B15" s="47">
        <v>14</v>
      </c>
      <c r="C15" s="46"/>
      <c r="D15" s="46"/>
      <c r="E15" s="41"/>
      <c r="F15" s="41"/>
      <c r="G15" s="41"/>
    </row>
    <row r="16" spans="1:8" x14ac:dyDescent="0.25">
      <c r="A16" s="46" t="s">
        <v>7</v>
      </c>
      <c r="B16" s="47">
        <v>15</v>
      </c>
      <c r="C16" s="46"/>
      <c r="D16" s="46"/>
      <c r="E16" s="41"/>
      <c r="F16" s="41"/>
      <c r="G16" s="41"/>
    </row>
    <row r="17" spans="1:8" x14ac:dyDescent="0.25">
      <c r="A17" s="12" t="s">
        <v>1</v>
      </c>
      <c r="B17" s="13">
        <v>16</v>
      </c>
      <c r="C17" s="12"/>
      <c r="D17" s="12"/>
      <c r="E17" s="14"/>
      <c r="F17" s="14"/>
      <c r="G17" s="14"/>
      <c r="H17" s="12"/>
    </row>
    <row r="18" spans="1:8" x14ac:dyDescent="0.25">
      <c r="A18" s="12" t="s">
        <v>2</v>
      </c>
      <c r="B18" s="13">
        <v>17</v>
      </c>
      <c r="C18" s="12"/>
      <c r="D18" s="12"/>
      <c r="E18" s="14"/>
      <c r="F18" s="14"/>
      <c r="G18" s="14"/>
      <c r="H18" s="12"/>
    </row>
    <row r="19" spans="1:8" x14ac:dyDescent="0.25">
      <c r="A19" s="46" t="s">
        <v>3</v>
      </c>
      <c r="B19" s="47">
        <v>18</v>
      </c>
      <c r="C19" s="46" t="s">
        <v>66</v>
      </c>
      <c r="D19" s="46"/>
      <c r="E19" s="41">
        <v>451</v>
      </c>
      <c r="F19" s="75" t="s">
        <v>31</v>
      </c>
      <c r="G19" s="41"/>
      <c r="H19" s="12"/>
    </row>
    <row r="20" spans="1:8" x14ac:dyDescent="0.25">
      <c r="A20" s="46" t="s">
        <v>4</v>
      </c>
      <c r="B20" s="47">
        <v>19</v>
      </c>
      <c r="C20" s="46" t="s">
        <v>28</v>
      </c>
      <c r="D20" s="46"/>
      <c r="E20" s="41"/>
      <c r="F20" s="41"/>
      <c r="G20" s="41"/>
      <c r="H20" s="12"/>
    </row>
    <row r="21" spans="1:8" x14ac:dyDescent="0.25">
      <c r="A21" s="46" t="s">
        <v>5</v>
      </c>
      <c r="B21" s="47">
        <v>20</v>
      </c>
      <c r="C21" s="46"/>
      <c r="D21" s="46"/>
      <c r="E21" s="41"/>
      <c r="F21" s="41"/>
      <c r="G21" s="41"/>
      <c r="H21" s="12"/>
    </row>
    <row r="22" spans="1:8" x14ac:dyDescent="0.25">
      <c r="A22" s="46" t="s">
        <v>6</v>
      </c>
      <c r="B22" s="47">
        <v>21</v>
      </c>
      <c r="C22" s="46" t="s">
        <v>64</v>
      </c>
      <c r="D22" s="46"/>
      <c r="E22" s="41">
        <v>700</v>
      </c>
      <c r="F22" s="75" t="s">
        <v>31</v>
      </c>
      <c r="G22" s="41"/>
      <c r="H22" s="12"/>
    </row>
    <row r="23" spans="1:8" x14ac:dyDescent="0.25">
      <c r="A23" s="46" t="s">
        <v>7</v>
      </c>
      <c r="B23" s="47">
        <v>22</v>
      </c>
      <c r="C23" s="46" t="s">
        <v>28</v>
      </c>
      <c r="D23" s="48"/>
      <c r="E23" s="41"/>
      <c r="F23" s="41"/>
      <c r="G23" s="41"/>
      <c r="H23" s="12"/>
    </row>
    <row r="24" spans="1:8" x14ac:dyDescent="0.25">
      <c r="A24" s="46" t="s">
        <v>1</v>
      </c>
      <c r="B24" s="47">
        <v>23</v>
      </c>
      <c r="C24" s="46"/>
      <c r="D24" s="48"/>
      <c r="E24" s="41"/>
      <c r="F24" s="41"/>
      <c r="G24" s="41"/>
      <c r="H24" s="12"/>
    </row>
    <row r="25" spans="1:8" x14ac:dyDescent="0.25">
      <c r="A25" s="48" t="s">
        <v>2</v>
      </c>
      <c r="B25" s="49">
        <v>24</v>
      </c>
      <c r="C25" s="48"/>
      <c r="D25" s="48"/>
      <c r="E25" s="41"/>
      <c r="F25" s="41"/>
      <c r="G25" s="41"/>
      <c r="H25" s="12"/>
    </row>
    <row r="26" spans="1:8" x14ac:dyDescent="0.25">
      <c r="A26" s="95" t="s">
        <v>3</v>
      </c>
      <c r="B26" s="96">
        <v>25</v>
      </c>
      <c r="C26" s="95" t="s">
        <v>65</v>
      </c>
      <c r="D26" s="95"/>
      <c r="E26" s="97">
        <v>400</v>
      </c>
      <c r="F26" s="101" t="s">
        <v>31</v>
      </c>
      <c r="G26" s="97"/>
      <c r="H26" s="12"/>
    </row>
    <row r="27" spans="1:8" x14ac:dyDescent="0.25">
      <c r="A27" s="95" t="s">
        <v>4</v>
      </c>
      <c r="B27" s="96">
        <v>26</v>
      </c>
      <c r="C27" s="95"/>
      <c r="D27" s="95"/>
      <c r="E27" s="97"/>
      <c r="F27" s="97"/>
      <c r="G27" s="97"/>
      <c r="H27" s="12"/>
    </row>
    <row r="28" spans="1:8" x14ac:dyDescent="0.25">
      <c r="A28" s="95" t="s">
        <v>5</v>
      </c>
      <c r="B28" s="96">
        <v>27</v>
      </c>
      <c r="C28" s="95"/>
      <c r="D28" s="95"/>
      <c r="E28" s="98"/>
      <c r="F28" s="98"/>
      <c r="G28" s="98"/>
    </row>
    <row r="29" spans="1:8" x14ac:dyDescent="0.25">
      <c r="A29" s="95" t="s">
        <v>6</v>
      </c>
      <c r="B29" s="96">
        <v>28</v>
      </c>
      <c r="C29" s="95"/>
      <c r="D29" s="95"/>
      <c r="E29" s="97"/>
      <c r="F29" s="97"/>
      <c r="G29" s="97"/>
    </row>
    <row r="30" spans="1:8" x14ac:dyDescent="0.25">
      <c r="A30" s="86" t="s">
        <v>7</v>
      </c>
      <c r="B30" s="87">
        <v>29</v>
      </c>
      <c r="C30" s="86"/>
      <c r="D30" s="86"/>
      <c r="E30" s="88"/>
      <c r="F30" s="88"/>
      <c r="G30" s="88"/>
    </row>
    <row r="31" spans="1:8" x14ac:dyDescent="0.25">
      <c r="A31" s="86" t="s">
        <v>1</v>
      </c>
      <c r="B31" s="87">
        <v>30</v>
      </c>
      <c r="C31" s="86"/>
      <c r="D31" s="86"/>
      <c r="E31" s="88"/>
      <c r="F31" s="88"/>
      <c r="G31" s="88"/>
    </row>
    <row r="32" spans="1:8" x14ac:dyDescent="0.25">
      <c r="A32" s="102" t="s">
        <v>2</v>
      </c>
      <c r="B32" s="103">
        <v>31</v>
      </c>
      <c r="C32" s="102" t="s">
        <v>67</v>
      </c>
      <c r="D32" s="104"/>
      <c r="E32" s="104">
        <v>700</v>
      </c>
      <c r="F32" s="105" t="s">
        <v>31</v>
      </c>
      <c r="G32" s="48"/>
    </row>
    <row r="33" spans="1:7" x14ac:dyDescent="0.25">
      <c r="A33" s="106"/>
      <c r="B33" s="106"/>
      <c r="C33" s="106"/>
      <c r="D33" s="106" t="s">
        <v>22</v>
      </c>
      <c r="E33" s="107">
        <f>SUM(E2:E32)</f>
        <v>3284</v>
      </c>
      <c r="F33" s="107"/>
      <c r="G33" s="10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H33"/>
  <sheetViews>
    <sheetView topLeftCell="A16" workbookViewId="0">
      <selection activeCell="F27" sqref="F27"/>
    </sheetView>
  </sheetViews>
  <sheetFormatPr defaultRowHeight="15" x14ac:dyDescent="0.25"/>
  <cols>
    <col min="3" max="3" width="21.42578125" customWidth="1"/>
    <col min="4" max="4" width="22.28515625" customWidth="1"/>
    <col min="5" max="5" width="18.5703125" customWidth="1"/>
    <col min="6" max="6" width="18.42578125" customWidth="1"/>
    <col min="7" max="7" width="18.140625" customWidth="1"/>
  </cols>
  <sheetData>
    <row r="1" spans="1:8" x14ac:dyDescent="0.25">
      <c r="A1" s="4" t="s">
        <v>43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46" t="s">
        <v>3</v>
      </c>
      <c r="B2" s="47">
        <v>1</v>
      </c>
      <c r="C2" s="46"/>
      <c r="D2" s="46"/>
      <c r="E2" s="41"/>
      <c r="F2" s="41"/>
      <c r="G2" s="41"/>
    </row>
    <row r="3" spans="1:8" x14ac:dyDescent="0.25">
      <c r="A3" s="46" t="s">
        <v>4</v>
      </c>
      <c r="B3" s="47">
        <v>2</v>
      </c>
      <c r="C3" s="46"/>
      <c r="D3" s="46"/>
      <c r="E3" s="41"/>
      <c r="F3" s="41"/>
      <c r="G3" s="41"/>
    </row>
    <row r="4" spans="1:8" x14ac:dyDescent="0.25">
      <c r="A4" s="46" t="s">
        <v>5</v>
      </c>
      <c r="B4" s="47">
        <v>3</v>
      </c>
      <c r="C4" s="46"/>
      <c r="D4" s="46"/>
      <c r="E4" s="41"/>
      <c r="F4" s="41"/>
      <c r="G4" s="41"/>
    </row>
    <row r="5" spans="1:8" x14ac:dyDescent="0.25">
      <c r="A5" s="12" t="s">
        <v>6</v>
      </c>
      <c r="B5" s="13">
        <v>4</v>
      </c>
      <c r="C5" s="12"/>
      <c r="D5" s="12"/>
      <c r="E5" s="14"/>
      <c r="F5" s="14"/>
      <c r="G5" s="14"/>
    </row>
    <row r="6" spans="1:8" x14ac:dyDescent="0.25">
      <c r="A6" s="12" t="s">
        <v>7</v>
      </c>
      <c r="B6" s="13">
        <v>5</v>
      </c>
      <c r="C6" s="12"/>
      <c r="D6" s="12"/>
      <c r="E6" s="14"/>
      <c r="F6" s="14"/>
      <c r="G6" s="14"/>
    </row>
    <row r="7" spans="1:8" x14ac:dyDescent="0.25">
      <c r="A7" s="12" t="s">
        <v>1</v>
      </c>
      <c r="B7" s="13">
        <v>6</v>
      </c>
      <c r="C7" s="12"/>
      <c r="D7" s="12"/>
      <c r="E7" s="14"/>
      <c r="F7" s="14"/>
      <c r="G7" s="14"/>
    </row>
    <row r="8" spans="1:8" x14ac:dyDescent="0.25">
      <c r="A8" s="12" t="s">
        <v>2</v>
      </c>
      <c r="B8" s="13">
        <v>7</v>
      </c>
      <c r="C8" s="12"/>
      <c r="D8" s="12"/>
      <c r="E8" s="14"/>
      <c r="F8" s="14"/>
      <c r="G8" s="14"/>
    </row>
    <row r="9" spans="1:8" x14ac:dyDescent="0.25">
      <c r="A9" s="12" t="s">
        <v>3</v>
      </c>
      <c r="B9" s="13">
        <v>8</v>
      </c>
      <c r="C9" s="12"/>
      <c r="D9" s="12"/>
      <c r="E9" s="14"/>
      <c r="F9" s="14"/>
      <c r="G9" s="14"/>
    </row>
    <row r="10" spans="1:8" x14ac:dyDescent="0.25">
      <c r="A10" s="12" t="s">
        <v>4</v>
      </c>
      <c r="B10" s="13">
        <v>9</v>
      </c>
      <c r="C10" s="12"/>
      <c r="D10" s="12"/>
      <c r="E10" s="14"/>
      <c r="F10" s="14"/>
      <c r="G10" s="14"/>
    </row>
    <row r="11" spans="1:8" x14ac:dyDescent="0.25">
      <c r="A11" s="12" t="s">
        <v>5</v>
      </c>
      <c r="B11" s="13">
        <v>10</v>
      </c>
      <c r="C11" s="12"/>
      <c r="D11" s="12"/>
      <c r="E11" s="14"/>
      <c r="F11" s="40"/>
      <c r="G11" s="40"/>
    </row>
    <row r="12" spans="1:8" x14ac:dyDescent="0.25">
      <c r="A12" s="36" t="s">
        <v>6</v>
      </c>
      <c r="B12" s="37">
        <v>11</v>
      </c>
      <c r="C12" s="36" t="s">
        <v>77</v>
      </c>
      <c r="D12" s="36"/>
      <c r="E12" s="38">
        <v>905</v>
      </c>
      <c r="F12" s="18" t="s">
        <v>31</v>
      </c>
      <c r="G12" s="38"/>
    </row>
    <row r="13" spans="1:8" x14ac:dyDescent="0.25">
      <c r="A13" s="36" t="s">
        <v>7</v>
      </c>
      <c r="B13" s="37">
        <v>12</v>
      </c>
      <c r="C13" s="36" t="s">
        <v>28</v>
      </c>
      <c r="D13" s="36"/>
      <c r="E13" s="39"/>
      <c r="F13" s="38"/>
      <c r="G13" s="38"/>
    </row>
    <row r="14" spans="1:8" x14ac:dyDescent="0.25">
      <c r="A14" s="36" t="s">
        <v>1</v>
      </c>
      <c r="B14" s="37">
        <v>13</v>
      </c>
      <c r="C14" s="36"/>
      <c r="D14" s="36"/>
      <c r="E14" s="38"/>
      <c r="F14" s="38"/>
      <c r="G14" s="38"/>
    </row>
    <row r="15" spans="1:8" x14ac:dyDescent="0.25">
      <c r="A15" s="36" t="s">
        <v>2</v>
      </c>
      <c r="B15" s="37">
        <v>14</v>
      </c>
      <c r="C15" s="36"/>
      <c r="D15" s="36"/>
      <c r="E15" s="38"/>
      <c r="F15" s="38"/>
      <c r="G15" s="38"/>
    </row>
    <row r="16" spans="1:8" x14ac:dyDescent="0.25">
      <c r="A16" s="36" t="s">
        <v>3</v>
      </c>
      <c r="B16" s="37">
        <v>15</v>
      </c>
      <c r="C16" s="36"/>
      <c r="D16" s="36"/>
      <c r="E16" s="38"/>
      <c r="F16" s="38"/>
      <c r="G16" s="38"/>
    </row>
    <row r="17" spans="1:8" x14ac:dyDescent="0.25">
      <c r="A17" s="36" t="s">
        <v>4</v>
      </c>
      <c r="B17" s="37">
        <v>16</v>
      </c>
      <c r="C17" s="36"/>
      <c r="D17" s="36"/>
      <c r="E17" s="38"/>
      <c r="F17" s="38"/>
      <c r="G17" s="38"/>
      <c r="H17" s="12"/>
    </row>
    <row r="18" spans="1:8" x14ac:dyDescent="0.25">
      <c r="A18" s="36" t="s">
        <v>5</v>
      </c>
      <c r="B18" s="37">
        <v>17</v>
      </c>
      <c r="C18" s="36"/>
      <c r="D18" s="36"/>
      <c r="E18" s="38"/>
      <c r="F18" s="38"/>
      <c r="G18" s="38"/>
      <c r="H18" s="12"/>
    </row>
    <row r="19" spans="1:8" x14ac:dyDescent="0.25">
      <c r="A19" s="36" t="s">
        <v>6</v>
      </c>
      <c r="B19" s="37">
        <v>18</v>
      </c>
      <c r="C19" s="36"/>
      <c r="D19" s="36"/>
      <c r="E19" s="38"/>
      <c r="F19" s="38"/>
      <c r="G19" s="38"/>
      <c r="H19" s="12"/>
    </row>
    <row r="20" spans="1:8" x14ac:dyDescent="0.25">
      <c r="A20" s="12" t="s">
        <v>7</v>
      </c>
      <c r="B20" s="13">
        <v>19</v>
      </c>
      <c r="C20" s="12"/>
      <c r="D20" s="12"/>
      <c r="E20" s="14"/>
      <c r="F20" s="14"/>
      <c r="G20" s="14"/>
      <c r="H20" s="12"/>
    </row>
    <row r="21" spans="1:8" x14ac:dyDescent="0.25">
      <c r="A21" s="12" t="s">
        <v>1</v>
      </c>
      <c r="B21" s="13">
        <v>20</v>
      </c>
      <c r="C21" s="12"/>
      <c r="D21" s="12"/>
      <c r="E21" s="14"/>
      <c r="F21" s="14"/>
      <c r="G21" s="14"/>
      <c r="H21" s="12"/>
    </row>
    <row r="22" spans="1:8" x14ac:dyDescent="0.25">
      <c r="A22" s="12" t="s">
        <v>2</v>
      </c>
      <c r="B22" s="13">
        <v>21</v>
      </c>
      <c r="C22" s="12"/>
      <c r="D22" s="12"/>
      <c r="E22" s="14"/>
      <c r="F22" s="14"/>
      <c r="G22" s="14"/>
      <c r="H22" s="12"/>
    </row>
    <row r="23" spans="1:8" x14ac:dyDescent="0.25">
      <c r="A23" s="36" t="s">
        <v>3</v>
      </c>
      <c r="B23" s="37">
        <v>22</v>
      </c>
      <c r="C23" s="36" t="s">
        <v>75</v>
      </c>
      <c r="D23" s="36"/>
      <c r="E23" s="38">
        <v>445</v>
      </c>
      <c r="F23" s="18" t="s">
        <v>31</v>
      </c>
      <c r="G23" s="38"/>
      <c r="H23" s="12"/>
    </row>
    <row r="24" spans="1:8" x14ac:dyDescent="0.25">
      <c r="A24" s="36" t="s">
        <v>4</v>
      </c>
      <c r="B24" s="37">
        <v>23</v>
      </c>
      <c r="C24" s="36" t="s">
        <v>28</v>
      </c>
      <c r="D24" s="36"/>
      <c r="E24" s="38"/>
      <c r="F24" s="38"/>
      <c r="G24" s="38"/>
      <c r="H24" s="12"/>
    </row>
    <row r="25" spans="1:8" x14ac:dyDescent="0.25">
      <c r="A25" s="36" t="s">
        <v>5</v>
      </c>
      <c r="B25" s="37">
        <v>24</v>
      </c>
      <c r="C25" s="36"/>
      <c r="D25" s="36"/>
      <c r="E25" s="38"/>
      <c r="F25" s="38"/>
      <c r="G25" s="38"/>
      <c r="H25" s="12"/>
    </row>
    <row r="26" spans="1:8" x14ac:dyDescent="0.25">
      <c r="A26" s="36" t="s">
        <v>6</v>
      </c>
      <c r="B26" s="37">
        <v>25</v>
      </c>
      <c r="C26" s="36" t="s">
        <v>78</v>
      </c>
      <c r="D26" s="36"/>
      <c r="E26" s="38">
        <v>414</v>
      </c>
      <c r="F26" s="18" t="s">
        <v>31</v>
      </c>
      <c r="G26" s="38"/>
      <c r="H26" s="12"/>
    </row>
    <row r="27" spans="1:8" x14ac:dyDescent="0.25">
      <c r="A27" s="36" t="s">
        <v>7</v>
      </c>
      <c r="B27" s="37">
        <v>26</v>
      </c>
      <c r="C27" s="36" t="s">
        <v>28</v>
      </c>
      <c r="D27" s="36"/>
      <c r="E27" s="38"/>
      <c r="F27" s="38"/>
      <c r="G27" s="38"/>
      <c r="H27" s="12"/>
    </row>
    <row r="28" spans="1:8" x14ac:dyDescent="0.25">
      <c r="A28" s="36" t="s">
        <v>1</v>
      </c>
      <c r="B28" s="37">
        <v>27</v>
      </c>
      <c r="C28" s="36"/>
      <c r="D28" s="36"/>
      <c r="E28" s="39"/>
      <c r="F28" s="39"/>
      <c r="G28" s="39"/>
    </row>
    <row r="29" spans="1:8" x14ac:dyDescent="0.25">
      <c r="A29" s="36" t="s">
        <v>2</v>
      </c>
      <c r="B29" s="37">
        <v>28</v>
      </c>
      <c r="C29" s="36"/>
      <c r="D29" s="36"/>
      <c r="E29" s="38"/>
      <c r="F29" s="38"/>
      <c r="G29" s="38"/>
    </row>
    <row r="30" spans="1:8" x14ac:dyDescent="0.25">
      <c r="A30" s="36" t="s">
        <v>3</v>
      </c>
      <c r="B30" s="37">
        <v>29</v>
      </c>
      <c r="C30" s="36"/>
      <c r="D30" s="36"/>
      <c r="E30" s="38"/>
      <c r="F30" s="38"/>
      <c r="G30" s="38"/>
    </row>
    <row r="31" spans="1:8" x14ac:dyDescent="0.25">
      <c r="A31" t="s">
        <v>4</v>
      </c>
      <c r="B31" s="13">
        <v>30</v>
      </c>
      <c r="C31" s="12"/>
      <c r="D31" s="12"/>
      <c r="E31" s="14"/>
      <c r="F31" s="14"/>
      <c r="G31" s="14"/>
    </row>
    <row r="32" spans="1:8" x14ac:dyDescent="0.25">
      <c r="B32" s="1"/>
      <c r="E32" s="8"/>
      <c r="F32" s="8"/>
      <c r="G32" s="8"/>
    </row>
    <row r="33" spans="4:7" x14ac:dyDescent="0.25">
      <c r="D33" t="s">
        <v>22</v>
      </c>
      <c r="E33" s="8">
        <f>SUM(E2:E32)</f>
        <v>1764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K33"/>
  <sheetViews>
    <sheetView workbookViewId="0">
      <selection activeCell="L18" sqref="L18"/>
    </sheetView>
  </sheetViews>
  <sheetFormatPr defaultRowHeight="15" x14ac:dyDescent="0.25"/>
  <cols>
    <col min="3" max="4" width="18.42578125" customWidth="1"/>
    <col min="5" max="5" width="18.5703125" customWidth="1"/>
    <col min="6" max="6" width="18.42578125" customWidth="1"/>
    <col min="7" max="7" width="18.28515625" customWidth="1"/>
  </cols>
  <sheetData>
    <row r="1" spans="1:11" x14ac:dyDescent="0.25">
      <c r="A1" s="4" t="s">
        <v>44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11" x14ac:dyDescent="0.25">
      <c r="A2" s="12" t="s">
        <v>5</v>
      </c>
      <c r="B2" s="13">
        <v>1</v>
      </c>
      <c r="C2" s="12"/>
      <c r="D2" s="12"/>
      <c r="E2" s="14"/>
      <c r="F2" s="14"/>
      <c r="G2" s="14"/>
    </row>
    <row r="3" spans="1:11" x14ac:dyDescent="0.25">
      <c r="A3" s="12" t="s">
        <v>6</v>
      </c>
      <c r="B3" s="13">
        <v>2</v>
      </c>
      <c r="C3" s="12"/>
      <c r="D3" s="12"/>
      <c r="E3" s="14"/>
      <c r="F3" s="14"/>
      <c r="G3" s="14"/>
    </row>
    <row r="4" spans="1:11" x14ac:dyDescent="0.25">
      <c r="A4" s="12" t="s">
        <v>7</v>
      </c>
      <c r="B4" s="13">
        <v>3</v>
      </c>
      <c r="C4" s="12"/>
      <c r="D4" s="12"/>
      <c r="E4" s="14"/>
      <c r="F4" s="14"/>
      <c r="G4" s="14"/>
    </row>
    <row r="5" spans="1:11" x14ac:dyDescent="0.25">
      <c r="A5" s="12" t="s">
        <v>1</v>
      </c>
      <c r="B5" s="13">
        <v>4</v>
      </c>
      <c r="C5" s="12"/>
      <c r="D5" s="12"/>
      <c r="E5" s="14"/>
      <c r="F5" s="14"/>
      <c r="G5" s="14"/>
    </row>
    <row r="6" spans="1:11" x14ac:dyDescent="0.25">
      <c r="A6" s="95" t="s">
        <v>2</v>
      </c>
      <c r="B6" s="96">
        <v>5</v>
      </c>
      <c r="C6" s="95" t="s">
        <v>52</v>
      </c>
      <c r="D6" s="95"/>
      <c r="E6" s="97">
        <v>800</v>
      </c>
      <c r="F6" s="64" t="s">
        <v>31</v>
      </c>
      <c r="G6" s="97"/>
    </row>
    <row r="7" spans="1:11" x14ac:dyDescent="0.25">
      <c r="A7" s="95" t="s">
        <v>3</v>
      </c>
      <c r="B7" s="96">
        <v>6</v>
      </c>
      <c r="C7" s="95"/>
      <c r="D7" s="95"/>
      <c r="E7" s="97"/>
      <c r="F7" s="97"/>
      <c r="G7" s="97"/>
    </row>
    <row r="8" spans="1:11" x14ac:dyDescent="0.25">
      <c r="A8" s="95" t="s">
        <v>4</v>
      </c>
      <c r="B8" s="96">
        <v>7</v>
      </c>
      <c r="C8" s="95"/>
      <c r="D8" s="95"/>
      <c r="E8" s="97"/>
      <c r="F8" s="97"/>
      <c r="G8" s="97"/>
    </row>
    <row r="9" spans="1:11" x14ac:dyDescent="0.25">
      <c r="A9" s="95" t="s">
        <v>5</v>
      </c>
      <c r="B9" s="96">
        <v>8</v>
      </c>
      <c r="C9" s="95"/>
      <c r="D9" s="95"/>
      <c r="E9" s="97"/>
      <c r="F9" s="97"/>
      <c r="G9" s="97"/>
    </row>
    <row r="10" spans="1:11" x14ac:dyDescent="0.25">
      <c r="A10" s="95" t="s">
        <v>6</v>
      </c>
      <c r="B10" s="96">
        <v>9</v>
      </c>
      <c r="C10" s="95"/>
      <c r="D10" s="95"/>
      <c r="E10" s="97"/>
      <c r="F10" s="97"/>
      <c r="G10" s="97"/>
    </row>
    <row r="11" spans="1:11" x14ac:dyDescent="0.25">
      <c r="A11" s="95" t="s">
        <v>7</v>
      </c>
      <c r="B11" s="96">
        <v>10</v>
      </c>
      <c r="C11" s="95"/>
      <c r="D11" s="95"/>
      <c r="E11" s="97"/>
      <c r="F11" s="98"/>
      <c r="G11" s="98"/>
    </row>
    <row r="12" spans="1:11" x14ac:dyDescent="0.25">
      <c r="A12" s="95" t="s">
        <v>1</v>
      </c>
      <c r="B12" s="96">
        <v>11</v>
      </c>
      <c r="C12" s="95"/>
      <c r="D12" s="95"/>
      <c r="E12" s="97"/>
      <c r="F12" s="97"/>
      <c r="G12" s="97"/>
      <c r="H12" s="12"/>
      <c r="I12" s="12"/>
      <c r="J12" s="12"/>
      <c r="K12" s="12"/>
    </row>
    <row r="13" spans="1:11" x14ac:dyDescent="0.25">
      <c r="A13" s="89" t="s">
        <v>2</v>
      </c>
      <c r="B13" s="90">
        <v>12</v>
      </c>
      <c r="C13" s="89" t="s">
        <v>80</v>
      </c>
      <c r="D13" s="89"/>
      <c r="E13" s="99">
        <v>700</v>
      </c>
      <c r="F13" s="64" t="s">
        <v>31</v>
      </c>
      <c r="G13" s="91"/>
      <c r="H13" s="12"/>
      <c r="I13" s="12"/>
      <c r="J13" s="12"/>
      <c r="K13" s="12"/>
    </row>
    <row r="14" spans="1:11" x14ac:dyDescent="0.25">
      <c r="A14" s="89" t="s">
        <v>3</v>
      </c>
      <c r="B14" s="90">
        <v>13</v>
      </c>
      <c r="C14" s="89" t="s">
        <v>28</v>
      </c>
      <c r="D14" s="89"/>
      <c r="E14" s="91"/>
      <c r="F14" s="91"/>
      <c r="G14" s="91"/>
      <c r="H14" s="12"/>
      <c r="I14" s="12"/>
      <c r="J14" s="12"/>
      <c r="K14" s="12"/>
    </row>
    <row r="15" spans="1:11" x14ac:dyDescent="0.25">
      <c r="A15" s="89" t="s">
        <v>4</v>
      </c>
      <c r="B15" s="90">
        <v>14</v>
      </c>
      <c r="C15" s="89"/>
      <c r="D15" s="89"/>
      <c r="E15" s="91"/>
      <c r="F15" s="91"/>
      <c r="G15" s="91"/>
      <c r="H15" s="12"/>
      <c r="I15" s="12"/>
      <c r="J15" s="12"/>
      <c r="K15" s="12"/>
    </row>
    <row r="16" spans="1:11" x14ac:dyDescent="0.25">
      <c r="A16" s="89" t="s">
        <v>5</v>
      </c>
      <c r="B16" s="90">
        <v>15</v>
      </c>
      <c r="C16" s="89"/>
      <c r="D16" s="89"/>
      <c r="E16" s="91"/>
      <c r="F16" s="91"/>
      <c r="G16" s="91"/>
      <c r="H16" s="12"/>
      <c r="I16" s="12"/>
      <c r="J16" s="12"/>
      <c r="K16" s="12"/>
    </row>
    <row r="17" spans="1:8" x14ac:dyDescent="0.25">
      <c r="A17" s="89" t="s">
        <v>6</v>
      </c>
      <c r="B17" s="90">
        <v>16</v>
      </c>
      <c r="C17" s="89"/>
      <c r="D17" s="89"/>
      <c r="E17" s="91"/>
      <c r="F17" s="91"/>
      <c r="G17" s="91"/>
      <c r="H17" s="12"/>
    </row>
    <row r="18" spans="1:8" x14ac:dyDescent="0.25">
      <c r="A18" s="89" t="s">
        <v>7</v>
      </c>
      <c r="B18" s="90">
        <v>17</v>
      </c>
      <c r="C18" s="89" t="s">
        <v>79</v>
      </c>
      <c r="D18" s="89"/>
      <c r="E18" s="91">
        <v>910</v>
      </c>
      <c r="F18" s="64" t="s">
        <v>31</v>
      </c>
      <c r="G18" s="91"/>
      <c r="H18" s="73"/>
    </row>
    <row r="19" spans="1:8" x14ac:dyDescent="0.25">
      <c r="A19" s="89" t="s">
        <v>1</v>
      </c>
      <c r="B19" s="90">
        <v>18</v>
      </c>
      <c r="C19" s="89" t="s">
        <v>28</v>
      </c>
      <c r="D19" s="89"/>
      <c r="E19" s="91"/>
      <c r="F19" s="91"/>
      <c r="G19" s="91"/>
      <c r="H19" s="73"/>
    </row>
    <row r="20" spans="1:8" x14ac:dyDescent="0.25">
      <c r="A20" s="89" t="s">
        <v>2</v>
      </c>
      <c r="B20" s="90">
        <v>19</v>
      </c>
      <c r="C20" s="89"/>
      <c r="D20" s="89"/>
      <c r="E20" s="91"/>
      <c r="F20" s="91"/>
      <c r="G20" s="91"/>
      <c r="H20" s="73"/>
    </row>
    <row r="21" spans="1:8" x14ac:dyDescent="0.25">
      <c r="A21" s="89" t="s">
        <v>3</v>
      </c>
      <c r="B21" s="90">
        <v>20</v>
      </c>
      <c r="C21" s="89"/>
      <c r="D21" s="89"/>
      <c r="E21" s="91"/>
      <c r="F21" s="91"/>
      <c r="G21" s="91"/>
      <c r="H21" s="73"/>
    </row>
    <row r="22" spans="1:8" x14ac:dyDescent="0.25">
      <c r="A22" s="89" t="s">
        <v>4</v>
      </c>
      <c r="B22" s="90">
        <v>21</v>
      </c>
      <c r="C22" s="89"/>
      <c r="D22" s="89"/>
      <c r="E22" s="91"/>
      <c r="F22" s="91"/>
      <c r="G22" s="91"/>
      <c r="H22" s="73"/>
    </row>
    <row r="23" spans="1:8" x14ac:dyDescent="0.25">
      <c r="A23" s="89" t="s">
        <v>5</v>
      </c>
      <c r="B23" s="90">
        <v>22</v>
      </c>
      <c r="C23" s="89"/>
      <c r="D23" s="89"/>
      <c r="E23" s="90"/>
      <c r="F23" s="89"/>
      <c r="G23" s="91"/>
      <c r="H23" s="73"/>
    </row>
    <row r="24" spans="1:8" x14ac:dyDescent="0.25">
      <c r="A24" s="89" t="s">
        <v>6</v>
      </c>
      <c r="B24" s="90">
        <v>23</v>
      </c>
      <c r="C24" s="89"/>
      <c r="D24" s="89"/>
      <c r="E24" s="91"/>
      <c r="F24" s="91"/>
      <c r="G24" s="91"/>
      <c r="H24" s="73"/>
    </row>
    <row r="25" spans="1:8" x14ac:dyDescent="0.25">
      <c r="A25" s="89" t="s">
        <v>7</v>
      </c>
      <c r="B25" s="90">
        <v>24</v>
      </c>
      <c r="C25" s="89"/>
      <c r="D25" s="89"/>
      <c r="E25" s="91"/>
      <c r="F25" s="91"/>
      <c r="G25" s="91"/>
      <c r="H25" s="73"/>
    </row>
    <row r="26" spans="1:8" x14ac:dyDescent="0.25">
      <c r="A26" s="89" t="s">
        <v>1</v>
      </c>
      <c r="B26" s="90">
        <v>25</v>
      </c>
      <c r="C26" s="89" t="s">
        <v>76</v>
      </c>
      <c r="D26" s="89"/>
      <c r="E26" s="91">
        <v>1100</v>
      </c>
      <c r="F26" s="100" t="s">
        <v>31</v>
      </c>
      <c r="G26" s="91"/>
      <c r="H26" s="73"/>
    </row>
    <row r="27" spans="1:8" x14ac:dyDescent="0.25">
      <c r="A27" s="89" t="s">
        <v>2</v>
      </c>
      <c r="B27" s="90">
        <v>26</v>
      </c>
      <c r="C27" s="89" t="s">
        <v>28</v>
      </c>
      <c r="D27" s="89"/>
      <c r="E27" s="91"/>
      <c r="F27" s="91"/>
      <c r="G27" s="91"/>
      <c r="H27" s="73"/>
    </row>
    <row r="28" spans="1:8" x14ac:dyDescent="0.25">
      <c r="A28" s="89" t="s">
        <v>3</v>
      </c>
      <c r="B28" s="90">
        <v>27</v>
      </c>
      <c r="C28" s="89"/>
      <c r="D28" s="89"/>
      <c r="E28" s="99"/>
      <c r="F28" s="99"/>
      <c r="G28" s="99"/>
    </row>
    <row r="29" spans="1:8" x14ac:dyDescent="0.25">
      <c r="A29" s="89" t="s">
        <v>4</v>
      </c>
      <c r="B29" s="90">
        <v>28</v>
      </c>
      <c r="C29" s="89"/>
      <c r="D29" s="89"/>
      <c r="E29" s="91"/>
      <c r="F29" s="91"/>
      <c r="G29" s="91"/>
    </row>
    <row r="30" spans="1:8" x14ac:dyDescent="0.25">
      <c r="A30" s="89" t="s">
        <v>5</v>
      </c>
      <c r="B30" s="90">
        <v>29</v>
      </c>
      <c r="C30" s="89"/>
      <c r="D30" s="89"/>
      <c r="E30" s="91"/>
      <c r="F30" s="91"/>
      <c r="G30" s="91"/>
    </row>
    <row r="31" spans="1:8" x14ac:dyDescent="0.25">
      <c r="A31" s="89" t="s">
        <v>6</v>
      </c>
      <c r="B31" s="90">
        <v>30</v>
      </c>
      <c r="C31" s="89"/>
      <c r="D31" s="89"/>
      <c r="E31" s="91"/>
      <c r="F31" s="91"/>
      <c r="G31" s="91"/>
    </row>
    <row r="32" spans="1:8" x14ac:dyDescent="0.25">
      <c r="A32" t="s">
        <v>7</v>
      </c>
      <c r="B32" s="1">
        <v>31</v>
      </c>
      <c r="E32" s="8"/>
      <c r="F32" s="8"/>
      <c r="G32" s="8"/>
    </row>
    <row r="33" spans="4:7" x14ac:dyDescent="0.25">
      <c r="D33" t="s">
        <v>22</v>
      </c>
      <c r="E33" s="8">
        <f>SUM(E2:E32)</f>
        <v>3510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H33"/>
  <sheetViews>
    <sheetView workbookViewId="0">
      <selection activeCell="G31" sqref="G31"/>
    </sheetView>
  </sheetViews>
  <sheetFormatPr defaultRowHeight="15" x14ac:dyDescent="0.25"/>
  <cols>
    <col min="3" max="3" width="25.5703125" customWidth="1"/>
    <col min="4" max="4" width="23" customWidth="1"/>
    <col min="5" max="5" width="18.28515625" customWidth="1"/>
    <col min="6" max="6" width="18.140625" customWidth="1"/>
    <col min="7" max="7" width="18.28515625" customWidth="1"/>
  </cols>
  <sheetData>
    <row r="1" spans="1:8" x14ac:dyDescent="0.25">
      <c r="A1" s="4" t="s">
        <v>45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t="s">
        <v>1</v>
      </c>
      <c r="B2" s="13">
        <v>1</v>
      </c>
      <c r="C2" s="12"/>
      <c r="D2" s="12"/>
      <c r="E2" s="14"/>
      <c r="F2" s="14"/>
      <c r="G2" s="14"/>
    </row>
    <row r="3" spans="1:8" x14ac:dyDescent="0.25">
      <c r="A3" s="12" t="s">
        <v>2</v>
      </c>
      <c r="B3" s="13">
        <v>2</v>
      </c>
      <c r="C3" s="12"/>
      <c r="D3" s="12"/>
      <c r="E3" s="14"/>
      <c r="F3" s="14"/>
      <c r="G3" s="14"/>
    </row>
    <row r="4" spans="1:8" x14ac:dyDescent="0.25">
      <c r="A4" s="12" t="s">
        <v>3</v>
      </c>
      <c r="B4" s="13">
        <v>3</v>
      </c>
      <c r="C4" s="12"/>
      <c r="D4" s="12"/>
      <c r="E4" s="14"/>
      <c r="F4" s="14"/>
      <c r="G4" s="14"/>
    </row>
    <row r="5" spans="1:8" x14ac:dyDescent="0.25">
      <c r="A5" s="12" t="s">
        <v>4</v>
      </c>
      <c r="B5" s="13">
        <v>4</v>
      </c>
      <c r="C5" s="12"/>
      <c r="D5" s="12"/>
      <c r="E5" s="14"/>
      <c r="F5" s="14"/>
      <c r="G5" s="14"/>
    </row>
    <row r="6" spans="1:8" x14ac:dyDescent="0.25">
      <c r="A6" s="12" t="s">
        <v>5</v>
      </c>
      <c r="B6" s="13">
        <v>5</v>
      </c>
      <c r="C6" s="12"/>
      <c r="D6" s="12"/>
      <c r="E6" s="14"/>
      <c r="F6" s="14"/>
      <c r="G6" s="14"/>
    </row>
    <row r="7" spans="1:8" x14ac:dyDescent="0.25">
      <c r="A7" s="12" t="s">
        <v>6</v>
      </c>
      <c r="B7" s="13">
        <v>6</v>
      </c>
      <c r="C7" s="12"/>
      <c r="D7" s="12"/>
      <c r="E7" s="14"/>
      <c r="F7" s="14"/>
      <c r="G7" s="14"/>
    </row>
    <row r="8" spans="1:8" x14ac:dyDescent="0.25">
      <c r="A8" s="12" t="s">
        <v>7</v>
      </c>
      <c r="B8" s="13">
        <v>7</v>
      </c>
      <c r="C8" s="12"/>
      <c r="D8" s="12"/>
      <c r="E8" s="14"/>
      <c r="F8" s="14"/>
      <c r="G8" s="14"/>
    </row>
    <row r="9" spans="1:8" x14ac:dyDescent="0.25">
      <c r="A9" s="12" t="s">
        <v>1</v>
      </c>
      <c r="B9" s="13">
        <v>8</v>
      </c>
      <c r="C9" s="12"/>
      <c r="D9" s="12"/>
      <c r="E9" s="14"/>
      <c r="F9" s="14"/>
      <c r="G9" s="14"/>
    </row>
    <row r="10" spans="1:8" x14ac:dyDescent="0.25">
      <c r="A10" s="81" t="s">
        <v>2</v>
      </c>
      <c r="B10" s="82">
        <v>9</v>
      </c>
      <c r="C10" s="81" t="s">
        <v>84</v>
      </c>
      <c r="D10" s="81"/>
      <c r="E10" s="83">
        <v>450</v>
      </c>
      <c r="F10" s="83"/>
      <c r="G10" s="83">
        <v>450</v>
      </c>
    </row>
    <row r="11" spans="1:8" x14ac:dyDescent="0.25">
      <c r="A11" s="81" t="s">
        <v>3</v>
      </c>
      <c r="B11" s="82">
        <v>10</v>
      </c>
      <c r="C11" s="81"/>
      <c r="D11" s="81"/>
      <c r="E11" s="83"/>
      <c r="F11" s="84"/>
      <c r="G11" s="84"/>
    </row>
    <row r="12" spans="1:8" x14ac:dyDescent="0.25">
      <c r="A12" s="81" t="s">
        <v>4</v>
      </c>
      <c r="B12" s="82">
        <v>11</v>
      </c>
      <c r="C12" s="81"/>
      <c r="D12" s="81"/>
      <c r="E12" s="83"/>
      <c r="F12" s="83"/>
      <c r="G12" s="83"/>
    </row>
    <row r="13" spans="1:8" x14ac:dyDescent="0.25">
      <c r="A13" s="81" t="s">
        <v>5</v>
      </c>
      <c r="B13" s="82">
        <v>12</v>
      </c>
      <c r="C13" s="81"/>
      <c r="D13" s="81"/>
      <c r="E13" s="84"/>
      <c r="F13" s="83"/>
      <c r="G13" s="83"/>
    </row>
    <row r="14" spans="1:8" x14ac:dyDescent="0.25">
      <c r="A14" s="12" t="s">
        <v>6</v>
      </c>
      <c r="B14" s="13">
        <v>13</v>
      </c>
      <c r="C14" s="12"/>
      <c r="D14" s="12"/>
      <c r="E14" s="14"/>
      <c r="F14" s="14"/>
      <c r="G14" s="14"/>
    </row>
    <row r="15" spans="1:8" x14ac:dyDescent="0.25">
      <c r="A15" s="12" t="s">
        <v>7</v>
      </c>
      <c r="B15" s="13">
        <v>14</v>
      </c>
      <c r="C15" s="12"/>
      <c r="D15" s="12"/>
      <c r="E15" s="14"/>
      <c r="F15" s="14"/>
      <c r="G15" s="14"/>
    </row>
    <row r="16" spans="1:8" x14ac:dyDescent="0.25">
      <c r="A16" s="12" t="s">
        <v>1</v>
      </c>
      <c r="B16" s="13">
        <v>15</v>
      </c>
      <c r="C16" s="12"/>
      <c r="D16" s="12"/>
      <c r="E16" s="14"/>
      <c r="F16" s="14"/>
      <c r="G16" s="14"/>
    </row>
    <row r="17" spans="1:8" x14ac:dyDescent="0.25">
      <c r="A17" s="46" t="s">
        <v>2</v>
      </c>
      <c r="B17" s="47">
        <v>16</v>
      </c>
      <c r="C17" s="46" t="s">
        <v>81</v>
      </c>
      <c r="D17" s="46"/>
      <c r="E17" s="41">
        <v>530</v>
      </c>
      <c r="F17" s="41"/>
      <c r="G17" s="41">
        <v>530</v>
      </c>
      <c r="H17" s="12"/>
    </row>
    <row r="18" spans="1:8" x14ac:dyDescent="0.25">
      <c r="A18" s="46" t="s">
        <v>3</v>
      </c>
      <c r="B18" s="47">
        <v>17</v>
      </c>
      <c r="C18" s="46" t="s">
        <v>28</v>
      </c>
      <c r="D18" s="46"/>
      <c r="E18" s="41"/>
      <c r="F18" s="41"/>
      <c r="G18" s="41"/>
      <c r="H18" s="12"/>
    </row>
    <row r="19" spans="1:8" x14ac:dyDescent="0.25">
      <c r="A19" s="46" t="s">
        <v>4</v>
      </c>
      <c r="B19" s="47">
        <v>18</v>
      </c>
      <c r="C19" s="46"/>
      <c r="D19" s="46"/>
      <c r="E19" s="41"/>
      <c r="F19" s="41"/>
      <c r="G19" s="41"/>
      <c r="H19" s="12"/>
    </row>
    <row r="20" spans="1:8" x14ac:dyDescent="0.25">
      <c r="A20" s="46" t="s">
        <v>5</v>
      </c>
      <c r="B20" s="47">
        <v>19</v>
      </c>
      <c r="C20" s="46"/>
      <c r="D20" s="46"/>
      <c r="E20" s="41"/>
      <c r="F20" s="41"/>
      <c r="G20" s="41"/>
      <c r="H20" s="12"/>
    </row>
    <row r="21" spans="1:8" x14ac:dyDescent="0.25">
      <c r="A21" s="12" t="s">
        <v>6</v>
      </c>
      <c r="B21" s="13">
        <v>20</v>
      </c>
      <c r="C21" s="12"/>
      <c r="D21" s="12"/>
      <c r="E21" s="14"/>
      <c r="F21" s="14"/>
      <c r="G21" s="14"/>
      <c r="H21" s="12"/>
    </row>
    <row r="22" spans="1:8" x14ac:dyDescent="0.25">
      <c r="A22" s="12" t="s">
        <v>7</v>
      </c>
      <c r="B22" s="13">
        <v>21</v>
      </c>
      <c r="C22" s="12"/>
      <c r="D22" s="12"/>
      <c r="E22" s="14"/>
      <c r="F22" s="14"/>
      <c r="G22" s="14"/>
      <c r="H22" s="12"/>
    </row>
    <row r="23" spans="1:8" x14ac:dyDescent="0.25">
      <c r="A23" s="12" t="s">
        <v>1</v>
      </c>
      <c r="B23" s="13">
        <v>22</v>
      </c>
      <c r="C23" s="12"/>
      <c r="D23" s="12"/>
      <c r="E23" s="14"/>
      <c r="F23" s="14"/>
      <c r="G23" s="14"/>
      <c r="H23" s="12"/>
    </row>
    <row r="24" spans="1:8" x14ac:dyDescent="0.25">
      <c r="A24" s="36" t="s">
        <v>2</v>
      </c>
      <c r="B24" s="37">
        <v>23</v>
      </c>
      <c r="C24" s="36" t="s">
        <v>82</v>
      </c>
      <c r="D24" s="36"/>
      <c r="E24" s="38">
        <v>630</v>
      </c>
      <c r="F24" s="38">
        <v>300</v>
      </c>
      <c r="G24" s="38">
        <v>330</v>
      </c>
      <c r="H24" s="12"/>
    </row>
    <row r="25" spans="1:8" x14ac:dyDescent="0.25">
      <c r="A25" s="36" t="s">
        <v>3</v>
      </c>
      <c r="B25" s="37">
        <v>24</v>
      </c>
      <c r="C25" s="36"/>
      <c r="D25" s="36"/>
      <c r="E25" s="38"/>
      <c r="F25" s="38"/>
      <c r="G25" s="38"/>
      <c r="H25" s="12"/>
    </row>
    <row r="26" spans="1:8" x14ac:dyDescent="0.25">
      <c r="A26" s="36" t="s">
        <v>4</v>
      </c>
      <c r="B26" s="37">
        <v>25</v>
      </c>
      <c r="C26" s="36"/>
      <c r="D26" s="36"/>
      <c r="E26" s="38"/>
      <c r="F26" s="38"/>
      <c r="G26" s="38"/>
      <c r="H26" s="12"/>
    </row>
    <row r="27" spans="1:8" x14ac:dyDescent="0.25">
      <c r="A27" s="36" t="s">
        <v>5</v>
      </c>
      <c r="B27" s="37">
        <v>26</v>
      </c>
      <c r="C27" s="36"/>
      <c r="D27" s="36"/>
      <c r="E27" s="38"/>
      <c r="F27" s="38"/>
      <c r="G27" s="38"/>
      <c r="H27" s="12"/>
    </row>
    <row r="28" spans="1:8" x14ac:dyDescent="0.25">
      <c r="A28" s="12" t="s">
        <v>6</v>
      </c>
      <c r="B28" s="13">
        <v>27</v>
      </c>
      <c r="C28" s="12"/>
      <c r="D28" s="12"/>
      <c r="E28" s="40"/>
      <c r="F28" s="40"/>
      <c r="G28" s="40"/>
    </row>
    <row r="29" spans="1:8" x14ac:dyDescent="0.25">
      <c r="A29" s="12" t="s">
        <v>7</v>
      </c>
      <c r="B29" s="13">
        <v>28</v>
      </c>
      <c r="C29" s="12"/>
      <c r="D29" s="12"/>
      <c r="E29" s="14"/>
      <c r="F29" s="14"/>
      <c r="G29" s="14"/>
    </row>
    <row r="30" spans="1:8" x14ac:dyDescent="0.25">
      <c r="A30" t="s">
        <v>1</v>
      </c>
      <c r="B30" s="13">
        <v>29</v>
      </c>
      <c r="C30" s="12"/>
      <c r="D30" s="12"/>
      <c r="E30" s="14"/>
      <c r="F30" s="14"/>
      <c r="G30" s="14"/>
    </row>
    <row r="31" spans="1:8" x14ac:dyDescent="0.25">
      <c r="A31" s="36" t="s">
        <v>2</v>
      </c>
      <c r="B31" s="37">
        <v>30</v>
      </c>
      <c r="C31" s="36" t="s">
        <v>32</v>
      </c>
      <c r="D31" s="36"/>
      <c r="E31" s="38"/>
      <c r="F31" s="38"/>
      <c r="G31" s="38"/>
    </row>
    <row r="32" spans="1:8" x14ac:dyDescent="0.25">
      <c r="A32" s="36" t="s">
        <v>3</v>
      </c>
      <c r="B32" s="37">
        <v>31</v>
      </c>
      <c r="C32" s="36"/>
      <c r="D32" s="36"/>
      <c r="E32" s="38"/>
      <c r="F32" s="38"/>
      <c r="G32" s="38"/>
    </row>
    <row r="33" spans="4:7" x14ac:dyDescent="0.25">
      <c r="D33" t="s">
        <v>22</v>
      </c>
      <c r="E33" s="8">
        <f>SUM(E2:E32)</f>
        <v>1610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1:H33"/>
  <sheetViews>
    <sheetView workbookViewId="0">
      <selection activeCell="J21" sqref="J21"/>
    </sheetView>
  </sheetViews>
  <sheetFormatPr defaultRowHeight="15" x14ac:dyDescent="0.25"/>
  <cols>
    <col min="1" max="1" width="14.28515625" customWidth="1"/>
    <col min="3" max="3" width="22.28515625" customWidth="1"/>
    <col min="4" max="4" width="13.5703125" customWidth="1"/>
    <col min="5" max="5" width="13.7109375" customWidth="1"/>
    <col min="6" max="6" width="21.85546875" customWidth="1"/>
    <col min="7" max="7" width="13.7109375" customWidth="1"/>
  </cols>
  <sheetData>
    <row r="1" spans="1:8" x14ac:dyDescent="0.25">
      <c r="A1" s="4" t="s">
        <v>53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36" t="s">
        <v>4</v>
      </c>
      <c r="B2" s="37">
        <v>1</v>
      </c>
      <c r="C2" s="36" t="s">
        <v>32</v>
      </c>
      <c r="D2" s="36"/>
      <c r="E2" s="38">
        <v>700</v>
      </c>
      <c r="F2" s="38"/>
      <c r="G2" s="38">
        <v>700</v>
      </c>
    </row>
    <row r="3" spans="1:8" x14ac:dyDescent="0.25">
      <c r="A3" s="36" t="s">
        <v>5</v>
      </c>
      <c r="B3" s="37">
        <v>2</v>
      </c>
      <c r="C3" s="36"/>
      <c r="D3" s="36"/>
      <c r="E3" s="38"/>
      <c r="F3" s="38"/>
      <c r="G3" s="38"/>
    </row>
    <row r="4" spans="1:8" x14ac:dyDescent="0.25">
      <c r="A4" s="36" t="s">
        <v>6</v>
      </c>
      <c r="B4" s="37">
        <v>3</v>
      </c>
      <c r="C4" s="36"/>
      <c r="D4" s="36"/>
      <c r="E4" s="38"/>
      <c r="F4" s="38"/>
      <c r="G4" s="38"/>
    </row>
    <row r="5" spans="1:8" x14ac:dyDescent="0.25">
      <c r="A5" s="36" t="s">
        <v>7</v>
      </c>
      <c r="B5" s="37">
        <v>4</v>
      </c>
      <c r="C5" s="36"/>
      <c r="D5" s="36"/>
      <c r="E5" s="38"/>
      <c r="F5" s="38"/>
      <c r="G5" s="38"/>
    </row>
    <row r="6" spans="1:8" x14ac:dyDescent="0.25">
      <c r="A6" s="12" t="s">
        <v>1</v>
      </c>
      <c r="B6" s="13">
        <v>5</v>
      </c>
      <c r="C6" s="12"/>
      <c r="D6" s="12"/>
      <c r="E6" s="14"/>
      <c r="F6" s="14"/>
      <c r="G6" s="14"/>
    </row>
    <row r="7" spans="1:8" x14ac:dyDescent="0.25">
      <c r="A7" s="20" t="s">
        <v>2</v>
      </c>
      <c r="B7" s="21">
        <v>6</v>
      </c>
      <c r="C7" s="20" t="s">
        <v>55</v>
      </c>
      <c r="D7" s="20" t="s">
        <v>87</v>
      </c>
      <c r="E7" s="22">
        <v>2100</v>
      </c>
      <c r="F7" s="22">
        <v>0</v>
      </c>
      <c r="G7" s="22">
        <v>2100</v>
      </c>
      <c r="H7" s="12"/>
    </row>
    <row r="8" spans="1:8" x14ac:dyDescent="0.25">
      <c r="A8" s="20" t="s">
        <v>3</v>
      </c>
      <c r="B8" s="21">
        <v>7</v>
      </c>
      <c r="C8" s="20"/>
      <c r="D8" s="20"/>
      <c r="E8" s="22"/>
      <c r="F8" s="22"/>
      <c r="G8" s="22"/>
      <c r="H8" s="12"/>
    </row>
    <row r="9" spans="1:8" x14ac:dyDescent="0.25">
      <c r="A9" s="20" t="s">
        <v>4</v>
      </c>
      <c r="B9" s="21">
        <v>8</v>
      </c>
      <c r="C9" s="20"/>
      <c r="D9" s="20"/>
      <c r="E9" s="22"/>
      <c r="F9" s="22"/>
      <c r="G9" s="22"/>
      <c r="H9" s="12"/>
    </row>
    <row r="10" spans="1:8" x14ac:dyDescent="0.25">
      <c r="A10" s="20" t="s">
        <v>5</v>
      </c>
      <c r="B10" s="21">
        <v>9</v>
      </c>
      <c r="C10" s="20"/>
      <c r="D10" s="20"/>
      <c r="E10" s="22"/>
      <c r="F10" s="22"/>
      <c r="G10" s="22"/>
      <c r="H10" s="12"/>
    </row>
    <row r="11" spans="1:8" x14ac:dyDescent="0.25">
      <c r="A11" s="20" t="s">
        <v>6</v>
      </c>
      <c r="B11" s="21">
        <v>10</v>
      </c>
      <c r="C11" s="20"/>
      <c r="D11" s="20"/>
      <c r="E11" s="22"/>
      <c r="F11" s="23"/>
      <c r="G11" s="23"/>
      <c r="H11" s="12"/>
    </row>
    <row r="12" spans="1:8" x14ac:dyDescent="0.25">
      <c r="A12" s="20" t="s">
        <v>7</v>
      </c>
      <c r="B12" s="21">
        <v>11</v>
      </c>
      <c r="C12" s="20"/>
      <c r="D12" s="20"/>
      <c r="E12" s="22"/>
      <c r="F12" s="22"/>
      <c r="G12" s="22"/>
      <c r="H12" s="12"/>
    </row>
    <row r="13" spans="1:8" x14ac:dyDescent="0.25">
      <c r="A13" s="20" t="s">
        <v>1</v>
      </c>
      <c r="B13" s="21">
        <v>12</v>
      </c>
      <c r="C13" s="20"/>
      <c r="D13" s="20"/>
      <c r="E13" s="23"/>
      <c r="F13" s="22"/>
      <c r="G13" s="22"/>
      <c r="H13" s="12"/>
    </row>
    <row r="14" spans="1:8" x14ac:dyDescent="0.25">
      <c r="A14" s="20" t="s">
        <v>2</v>
      </c>
      <c r="B14" s="21">
        <v>13</v>
      </c>
      <c r="C14" s="20"/>
      <c r="D14" s="20"/>
      <c r="E14" s="22"/>
      <c r="F14" s="22"/>
      <c r="G14" s="22"/>
      <c r="H14" s="12"/>
    </row>
    <row r="15" spans="1:8" x14ac:dyDescent="0.25">
      <c r="A15" s="20" t="s">
        <v>3</v>
      </c>
      <c r="B15" s="21">
        <v>14</v>
      </c>
      <c r="C15" s="20"/>
      <c r="D15" s="20"/>
      <c r="E15" s="22"/>
      <c r="F15" s="22"/>
      <c r="G15" s="22"/>
      <c r="H15" s="12"/>
    </row>
    <row r="16" spans="1:8" x14ac:dyDescent="0.25">
      <c r="A16" s="20" t="s">
        <v>4</v>
      </c>
      <c r="B16" s="21">
        <v>15</v>
      </c>
      <c r="C16" s="20"/>
      <c r="D16" s="20"/>
      <c r="E16" s="22"/>
      <c r="F16" s="22"/>
      <c r="G16" s="22"/>
      <c r="H16" s="12"/>
    </row>
    <row r="17" spans="1:8" x14ac:dyDescent="0.25">
      <c r="A17" s="20" t="s">
        <v>5</v>
      </c>
      <c r="B17" s="21">
        <v>16</v>
      </c>
      <c r="C17" s="20"/>
      <c r="D17" s="20"/>
      <c r="E17" s="22"/>
      <c r="F17" s="22"/>
      <c r="G17" s="22"/>
      <c r="H17" s="12"/>
    </row>
    <row r="18" spans="1:8" x14ac:dyDescent="0.25">
      <c r="A18" s="20" t="s">
        <v>6</v>
      </c>
      <c r="B18" s="21">
        <v>17</v>
      </c>
      <c r="C18" s="20" t="s">
        <v>85</v>
      </c>
      <c r="D18" s="20" t="s">
        <v>86</v>
      </c>
      <c r="E18" s="22">
        <v>850</v>
      </c>
      <c r="F18" s="22"/>
      <c r="G18" s="22">
        <v>850</v>
      </c>
      <c r="H18" s="12"/>
    </row>
    <row r="19" spans="1:8" x14ac:dyDescent="0.25">
      <c r="A19" s="20" t="s">
        <v>7</v>
      </c>
      <c r="B19" s="21">
        <v>18</v>
      </c>
      <c r="C19" s="20"/>
      <c r="D19" s="20"/>
      <c r="E19" s="22"/>
      <c r="F19" s="22"/>
      <c r="G19" s="22"/>
      <c r="H19" s="12"/>
    </row>
    <row r="20" spans="1:8" x14ac:dyDescent="0.25">
      <c r="A20" s="20" t="s">
        <v>1</v>
      </c>
      <c r="B20" s="21">
        <v>19</v>
      </c>
      <c r="C20" s="20"/>
      <c r="D20" s="20"/>
      <c r="E20" s="22"/>
      <c r="F20" s="22"/>
      <c r="G20" s="22"/>
      <c r="H20" s="12"/>
    </row>
    <row r="21" spans="1:8" x14ac:dyDescent="0.25">
      <c r="A21" s="20" t="s">
        <v>2</v>
      </c>
      <c r="B21" s="21">
        <v>20</v>
      </c>
      <c r="C21" s="20"/>
      <c r="D21" s="20"/>
      <c r="E21" s="22"/>
      <c r="F21" s="22"/>
      <c r="G21" s="22"/>
      <c r="H21" s="12"/>
    </row>
    <row r="22" spans="1:8" x14ac:dyDescent="0.25">
      <c r="A22" s="20" t="s">
        <v>3</v>
      </c>
      <c r="B22" s="21">
        <v>21</v>
      </c>
      <c r="C22" s="20"/>
      <c r="D22" s="20"/>
      <c r="E22" s="22"/>
      <c r="F22" s="22"/>
      <c r="G22" s="22"/>
      <c r="H22" s="12"/>
    </row>
    <row r="23" spans="1:8" x14ac:dyDescent="0.25">
      <c r="A23" s="20" t="s">
        <v>4</v>
      </c>
      <c r="B23" s="21">
        <v>22</v>
      </c>
      <c r="C23" s="20"/>
      <c r="D23" s="20"/>
      <c r="E23" s="22"/>
      <c r="F23" s="22"/>
      <c r="G23" s="22"/>
      <c r="H23" s="12"/>
    </row>
    <row r="24" spans="1:8" x14ac:dyDescent="0.25">
      <c r="A24" s="12" t="s">
        <v>5</v>
      </c>
      <c r="B24" s="13">
        <v>23</v>
      </c>
      <c r="C24" s="12"/>
      <c r="D24" s="12"/>
      <c r="E24" s="14"/>
      <c r="F24" s="14"/>
      <c r="G24" s="14"/>
      <c r="H24" s="12"/>
    </row>
    <row r="25" spans="1:8" x14ac:dyDescent="0.25">
      <c r="A25" s="12" t="s">
        <v>6</v>
      </c>
      <c r="B25" s="13">
        <v>24</v>
      </c>
      <c r="C25" s="12"/>
      <c r="D25" s="12"/>
      <c r="E25" s="14"/>
      <c r="F25" s="14"/>
      <c r="G25" s="14"/>
      <c r="H25" s="12"/>
    </row>
    <row r="26" spans="1:8" x14ac:dyDescent="0.25">
      <c r="A26" s="12" t="s">
        <v>7</v>
      </c>
      <c r="B26" s="13">
        <v>25</v>
      </c>
      <c r="C26" s="12"/>
      <c r="D26" s="12"/>
      <c r="E26" s="14"/>
      <c r="F26" s="14"/>
      <c r="G26" s="14"/>
      <c r="H26" s="12"/>
    </row>
    <row r="27" spans="1:8" x14ac:dyDescent="0.25">
      <c r="A27" s="12" t="s">
        <v>1</v>
      </c>
      <c r="B27" s="13">
        <v>26</v>
      </c>
      <c r="C27" s="12"/>
      <c r="D27" s="12"/>
      <c r="E27" s="14"/>
      <c r="F27" s="14"/>
      <c r="G27" s="14"/>
      <c r="H27" s="12"/>
    </row>
    <row r="28" spans="1:8" x14ac:dyDescent="0.25">
      <c r="A28" s="12" t="s">
        <v>2</v>
      </c>
      <c r="B28" s="13">
        <v>27</v>
      </c>
      <c r="C28" s="12"/>
      <c r="D28" s="12"/>
      <c r="E28" s="40"/>
      <c r="F28" s="40"/>
      <c r="G28" s="40"/>
      <c r="H28" s="12"/>
    </row>
    <row r="29" spans="1:8" x14ac:dyDescent="0.25">
      <c r="A29" s="12" t="s">
        <v>3</v>
      </c>
      <c r="B29" s="13">
        <v>28</v>
      </c>
      <c r="C29" s="12"/>
      <c r="D29" s="12"/>
      <c r="E29" s="14"/>
      <c r="F29" s="14"/>
      <c r="G29" s="14"/>
      <c r="H29" s="12"/>
    </row>
    <row r="30" spans="1:8" x14ac:dyDescent="0.25">
      <c r="A30" s="12" t="s">
        <v>4</v>
      </c>
      <c r="B30" s="13">
        <v>29</v>
      </c>
      <c r="C30" s="12"/>
      <c r="D30" s="12"/>
      <c r="E30" s="14"/>
      <c r="F30" s="14"/>
      <c r="G30" s="14"/>
      <c r="H30" s="12"/>
    </row>
    <row r="31" spans="1:8" x14ac:dyDescent="0.25">
      <c r="A31" s="12" t="s">
        <v>5</v>
      </c>
      <c r="B31" s="13">
        <v>30</v>
      </c>
      <c r="C31" s="12"/>
      <c r="D31" s="12"/>
      <c r="E31" s="14"/>
      <c r="F31" s="14"/>
      <c r="G31" s="14"/>
      <c r="H31" s="12"/>
    </row>
    <row r="32" spans="1:8" x14ac:dyDescent="0.25">
      <c r="A32" t="s">
        <v>6</v>
      </c>
      <c r="B32" s="1">
        <v>31</v>
      </c>
      <c r="E32" s="8"/>
      <c r="F32" s="8"/>
      <c r="G32" s="8"/>
    </row>
    <row r="33" spans="4:7" x14ac:dyDescent="0.25">
      <c r="D33" t="s">
        <v>22</v>
      </c>
      <c r="E33" s="8">
        <f>SUM(E2:E32)</f>
        <v>3650</v>
      </c>
      <c r="F33" s="8"/>
      <c r="G33" s="8"/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H33"/>
  <sheetViews>
    <sheetView workbookViewId="0">
      <selection activeCell="L18" sqref="L18"/>
    </sheetView>
  </sheetViews>
  <sheetFormatPr defaultRowHeight="15" x14ac:dyDescent="0.25"/>
  <cols>
    <col min="1" max="1" width="14.42578125" customWidth="1"/>
    <col min="3" max="3" width="19.28515625" customWidth="1"/>
    <col min="4" max="4" width="21.42578125" customWidth="1"/>
    <col min="5" max="5" width="14" customWidth="1"/>
    <col min="6" max="6" width="15.85546875" customWidth="1"/>
    <col min="7" max="7" width="14" customWidth="1"/>
  </cols>
  <sheetData>
    <row r="1" spans="1:8" x14ac:dyDescent="0.25">
      <c r="A1" s="4" t="s">
        <v>54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12" t="s">
        <v>6</v>
      </c>
      <c r="B2" s="13">
        <v>1</v>
      </c>
      <c r="C2" s="12"/>
      <c r="D2" s="12"/>
      <c r="E2" s="14"/>
      <c r="F2" s="14"/>
      <c r="G2" s="14"/>
    </row>
    <row r="3" spans="1:8" x14ac:dyDescent="0.25">
      <c r="A3" s="12" t="s">
        <v>7</v>
      </c>
      <c r="B3" s="13">
        <v>2</v>
      </c>
      <c r="C3" s="12"/>
      <c r="D3" s="12"/>
      <c r="E3" s="14"/>
      <c r="F3" s="14"/>
      <c r="G3" s="14"/>
    </row>
    <row r="4" spans="1:8" x14ac:dyDescent="0.25">
      <c r="A4" s="12" t="s">
        <v>1</v>
      </c>
      <c r="B4" s="13">
        <v>3</v>
      </c>
      <c r="C4" s="12"/>
      <c r="D4" s="12"/>
      <c r="E4" s="14"/>
      <c r="F4" s="14"/>
      <c r="G4" s="14"/>
    </row>
    <row r="5" spans="1:8" x14ac:dyDescent="0.25">
      <c r="A5" s="12" t="s">
        <v>2</v>
      </c>
      <c r="B5" s="13">
        <v>4</v>
      </c>
      <c r="C5" s="12"/>
      <c r="D5" s="12"/>
      <c r="E5" s="14"/>
      <c r="F5" s="14"/>
      <c r="G5" s="14"/>
    </row>
    <row r="6" spans="1:8" ht="15.75" x14ac:dyDescent="0.25">
      <c r="A6" s="92" t="s">
        <v>3</v>
      </c>
      <c r="B6" s="93">
        <v>5</v>
      </c>
      <c r="C6" s="92" t="s">
        <v>83</v>
      </c>
      <c r="D6" s="85">
        <v>14996586651</v>
      </c>
      <c r="E6" s="94">
        <v>550</v>
      </c>
      <c r="F6" s="94"/>
      <c r="G6" s="94">
        <v>550</v>
      </c>
    </row>
    <row r="7" spans="1:8" x14ac:dyDescent="0.25">
      <c r="A7" s="92" t="s">
        <v>4</v>
      </c>
      <c r="B7" s="93">
        <v>6</v>
      </c>
      <c r="C7" s="92" t="s">
        <v>28</v>
      </c>
      <c r="D7" s="92"/>
      <c r="E7" s="94"/>
      <c r="F7" s="94"/>
      <c r="G7" s="94"/>
    </row>
    <row r="8" spans="1:8" x14ac:dyDescent="0.25">
      <c r="A8" s="92" t="s">
        <v>5</v>
      </c>
      <c r="B8" s="93">
        <v>7</v>
      </c>
      <c r="C8" s="92"/>
      <c r="D8" s="92"/>
      <c r="E8" s="94"/>
      <c r="F8" s="94"/>
      <c r="G8" s="94"/>
    </row>
    <row r="9" spans="1:8" x14ac:dyDescent="0.25">
      <c r="A9" s="92" t="s">
        <v>6</v>
      </c>
      <c r="B9" s="93">
        <v>8</v>
      </c>
      <c r="C9" s="92"/>
      <c r="D9" s="92"/>
      <c r="E9" s="94"/>
      <c r="F9" s="94"/>
      <c r="G9" s="94"/>
    </row>
    <row r="10" spans="1:8" x14ac:dyDescent="0.25">
      <c r="A10" s="71" t="s">
        <v>7</v>
      </c>
      <c r="B10" s="79">
        <v>9</v>
      </c>
      <c r="C10" s="71"/>
      <c r="D10" s="71"/>
      <c r="E10" s="80"/>
      <c r="F10" s="80"/>
      <c r="G10" s="80"/>
    </row>
    <row r="11" spans="1:8" x14ac:dyDescent="0.25">
      <c r="A11" s="12" t="s">
        <v>1</v>
      </c>
      <c r="B11" s="13">
        <v>10</v>
      </c>
      <c r="C11" s="12"/>
      <c r="D11" s="12"/>
      <c r="E11" s="14"/>
      <c r="F11" s="40"/>
      <c r="G11" s="40"/>
    </row>
    <row r="12" spans="1:8" x14ac:dyDescent="0.25">
      <c r="A12" s="15" t="s">
        <v>2</v>
      </c>
      <c r="B12" s="16">
        <v>11</v>
      </c>
      <c r="C12" s="15" t="s">
        <v>69</v>
      </c>
      <c r="D12" s="15"/>
      <c r="E12" s="17">
        <v>1100</v>
      </c>
      <c r="F12" s="17"/>
      <c r="G12" s="17">
        <v>1100</v>
      </c>
    </row>
    <row r="13" spans="1:8" x14ac:dyDescent="0.25">
      <c r="A13" s="15" t="s">
        <v>3</v>
      </c>
      <c r="B13" s="16">
        <v>12</v>
      </c>
      <c r="C13" s="15" t="s">
        <v>28</v>
      </c>
      <c r="D13" s="15"/>
      <c r="E13" s="19"/>
      <c r="F13" s="17"/>
      <c r="G13" s="17"/>
    </row>
    <row r="14" spans="1:8" x14ac:dyDescent="0.25">
      <c r="A14" s="15" t="s">
        <v>4</v>
      </c>
      <c r="B14" s="16">
        <v>13</v>
      </c>
      <c r="C14" s="15"/>
      <c r="D14" s="15"/>
      <c r="E14" s="17"/>
      <c r="F14" s="17"/>
      <c r="G14" s="17"/>
    </row>
    <row r="15" spans="1:8" x14ac:dyDescent="0.25">
      <c r="A15" s="15" t="s">
        <v>5</v>
      </c>
      <c r="B15" s="16">
        <v>14</v>
      </c>
      <c r="C15" s="15"/>
      <c r="D15" s="15"/>
      <c r="E15" s="17"/>
      <c r="F15" s="17"/>
      <c r="G15" s="17"/>
    </row>
    <row r="16" spans="1:8" x14ac:dyDescent="0.25">
      <c r="A16" s="12" t="s">
        <v>6</v>
      </c>
      <c r="B16" s="13">
        <v>15</v>
      </c>
      <c r="C16" s="12"/>
      <c r="D16" s="12"/>
      <c r="E16" s="14"/>
      <c r="F16" s="14"/>
      <c r="G16" s="14"/>
    </row>
    <row r="17" spans="1:8" x14ac:dyDescent="0.25">
      <c r="A17" s="12" t="s">
        <v>7</v>
      </c>
      <c r="B17" s="13">
        <v>16</v>
      </c>
      <c r="C17" s="12"/>
      <c r="D17" s="12"/>
      <c r="E17" s="14"/>
      <c r="F17" s="14"/>
      <c r="G17" s="14"/>
      <c r="H17" s="12"/>
    </row>
    <row r="18" spans="1:8" x14ac:dyDescent="0.25">
      <c r="A18" s="53" t="s">
        <v>1</v>
      </c>
      <c r="B18" s="54">
        <v>17</v>
      </c>
      <c r="C18" s="53"/>
      <c r="D18" s="53"/>
      <c r="E18" s="56"/>
      <c r="F18" s="56"/>
      <c r="G18" s="56"/>
      <c r="H18" s="12"/>
    </row>
    <row r="19" spans="1:8" x14ac:dyDescent="0.25">
      <c r="A19" s="89" t="s">
        <v>2</v>
      </c>
      <c r="B19" s="90">
        <v>18</v>
      </c>
      <c r="C19" s="89" t="s">
        <v>88</v>
      </c>
      <c r="D19" s="15">
        <v>11974764088</v>
      </c>
      <c r="E19" s="91">
        <v>900</v>
      </c>
      <c r="F19" s="91"/>
      <c r="G19" s="91">
        <v>900</v>
      </c>
      <c r="H19" s="12"/>
    </row>
    <row r="20" spans="1:8" x14ac:dyDescent="0.25">
      <c r="A20" s="89" t="s">
        <v>3</v>
      </c>
      <c r="B20" s="90">
        <v>19</v>
      </c>
      <c r="C20" s="89"/>
      <c r="D20" s="89"/>
      <c r="E20" s="91"/>
      <c r="F20" s="91"/>
      <c r="G20" s="91"/>
      <c r="H20" s="12"/>
    </row>
    <row r="21" spans="1:8" x14ac:dyDescent="0.25">
      <c r="A21" s="89" t="s">
        <v>4</v>
      </c>
      <c r="B21" s="90">
        <v>20</v>
      </c>
      <c r="C21" s="89"/>
      <c r="D21" s="89"/>
      <c r="E21" s="91"/>
      <c r="F21" s="91"/>
      <c r="G21" s="91"/>
      <c r="H21" s="12"/>
    </row>
    <row r="22" spans="1:8" x14ac:dyDescent="0.25">
      <c r="A22" s="89" t="s">
        <v>5</v>
      </c>
      <c r="B22" s="90">
        <v>21</v>
      </c>
      <c r="C22" s="89"/>
      <c r="D22" s="89"/>
      <c r="E22" s="91"/>
      <c r="F22" s="91"/>
      <c r="G22" s="91"/>
      <c r="H22" s="12"/>
    </row>
    <row r="23" spans="1:8" x14ac:dyDescent="0.25">
      <c r="A23" s="89" t="s">
        <v>6</v>
      </c>
      <c r="B23" s="90">
        <v>22</v>
      </c>
      <c r="C23" s="89"/>
      <c r="D23" s="89"/>
      <c r="E23" s="91"/>
      <c r="F23" s="91"/>
      <c r="G23" s="91"/>
      <c r="H23" s="12"/>
    </row>
    <row r="24" spans="1:8" x14ac:dyDescent="0.25">
      <c r="A24" s="89" t="s">
        <v>7</v>
      </c>
      <c r="B24" s="90">
        <v>23</v>
      </c>
      <c r="C24" s="89"/>
      <c r="D24" s="89"/>
      <c r="E24" s="91"/>
      <c r="F24" s="91"/>
      <c r="G24" s="91"/>
      <c r="H24" s="12"/>
    </row>
    <row r="25" spans="1:8" x14ac:dyDescent="0.25">
      <c r="A25" s="86" t="s">
        <v>1</v>
      </c>
      <c r="B25" s="87">
        <v>24</v>
      </c>
      <c r="C25" s="86"/>
      <c r="D25" s="86"/>
      <c r="E25" s="88"/>
      <c r="F25" s="88"/>
      <c r="G25" s="88"/>
      <c r="H25" s="12"/>
    </row>
    <row r="26" spans="1:8" x14ac:dyDescent="0.25">
      <c r="A26" s="86" t="s">
        <v>2</v>
      </c>
      <c r="B26" s="87">
        <v>25</v>
      </c>
      <c r="C26" s="86"/>
      <c r="D26" s="86"/>
      <c r="E26" s="88"/>
      <c r="F26" s="88"/>
      <c r="G26" s="88"/>
      <c r="H26" s="12"/>
    </row>
    <row r="27" spans="1:8" x14ac:dyDescent="0.25">
      <c r="A27" s="53" t="s">
        <v>3</v>
      </c>
      <c r="B27" s="54">
        <v>26</v>
      </c>
      <c r="C27" s="53"/>
      <c r="D27" s="53"/>
      <c r="E27" s="56"/>
      <c r="F27" s="56"/>
      <c r="G27" s="56"/>
      <c r="H27" s="12"/>
    </row>
    <row r="28" spans="1:8" x14ac:dyDescent="0.25">
      <c r="A28" s="12" t="s">
        <v>4</v>
      </c>
      <c r="B28" s="13">
        <v>27</v>
      </c>
      <c r="C28" s="12"/>
      <c r="D28" s="12"/>
      <c r="E28" s="40"/>
      <c r="F28" s="40"/>
      <c r="G28" s="40"/>
    </row>
    <row r="29" spans="1:8" x14ac:dyDescent="0.25">
      <c r="A29" s="12" t="s">
        <v>5</v>
      </c>
      <c r="B29" s="13">
        <v>28</v>
      </c>
      <c r="C29" s="12"/>
      <c r="D29" s="12"/>
      <c r="E29" s="14"/>
      <c r="F29" s="14"/>
      <c r="G29" s="14"/>
    </row>
    <row r="30" spans="1:8" x14ac:dyDescent="0.25">
      <c r="A30" s="12" t="s">
        <v>6</v>
      </c>
      <c r="B30" s="13">
        <v>29</v>
      </c>
      <c r="C30" s="12"/>
      <c r="D30" s="12"/>
      <c r="E30" s="14"/>
      <c r="F30" s="14"/>
      <c r="G30" s="14"/>
    </row>
    <row r="31" spans="1:8" x14ac:dyDescent="0.25">
      <c r="A31" s="12" t="s">
        <v>7</v>
      </c>
      <c r="B31" s="13">
        <v>30</v>
      </c>
      <c r="C31" s="12"/>
      <c r="D31" s="12"/>
      <c r="E31" s="14"/>
      <c r="F31" s="14"/>
      <c r="G31" s="14"/>
    </row>
    <row r="32" spans="1:8" x14ac:dyDescent="0.25">
      <c r="A32" t="s">
        <v>1</v>
      </c>
      <c r="B32" s="1">
        <v>31</v>
      </c>
      <c r="E32" s="8"/>
      <c r="F32" s="8"/>
      <c r="G32" s="8"/>
    </row>
    <row r="33" spans="4:7" x14ac:dyDescent="0.25">
      <c r="D33" t="s">
        <v>22</v>
      </c>
      <c r="E33" s="8">
        <f>SUM(E2:E32)</f>
        <v>2550</v>
      </c>
      <c r="F33" s="8"/>
      <c r="G33" s="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Controle</vt:lpstr>
      <vt:lpstr>Reserva</vt:lpstr>
      <vt:lpstr>Calendario</vt:lpstr>
      <vt:lpstr>Valores</vt:lpstr>
      <vt:lpstr>Cliente</vt:lpstr>
      <vt:lpstr>Total</vt:lpstr>
      <vt:lpstr>Novembro 2017</vt:lpstr>
      <vt:lpstr>Dezembro 2017</vt:lpstr>
      <vt:lpstr>Janeiro 2018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Jonatas</dc:creator>
  <cp:lastModifiedBy>EVERTON GUERREIRO DENOIS</cp:lastModifiedBy>
  <dcterms:created xsi:type="dcterms:W3CDTF">2017-10-26T19:20:15Z</dcterms:created>
  <dcterms:modified xsi:type="dcterms:W3CDTF">2018-09-14T16:40:39Z</dcterms:modified>
</cp:coreProperties>
</file>